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CTIS - Tools\"/>
    </mc:Choice>
  </mc:AlternateContent>
  <bookViews>
    <workbookView xWindow="-120" yWindow="-120" windowWidth="20730" windowHeight="11160"/>
  </bookViews>
  <sheets>
    <sheet name="Dashboard" sheetId="1" r:id="rId1"/>
    <sheet name="Dados" sheetId="2" state="hidden" r:id="rId2"/>
    <sheet name="apoio_tables" sheetId="4" state="hidden" r:id="rId3"/>
    <sheet name="Apoio" sheetId="3" state="hidden" r:id="rId4"/>
  </sheets>
  <definedNames>
    <definedName name="SegmentaçãodeDados_Ciclo">#N/A</definedName>
    <definedName name="SegmentaçãodeDados_Onde_se_Aplica?">#N/A</definedName>
    <definedName name="SegmentaçãodeDados_Status">#N/A</definedName>
    <definedName name="SegmentaçãodeDados_Tipo">#N/A</definedName>
  </definedNames>
  <calcPr calcId="152511"/>
  <pivotCaches>
    <pivotCache cacheId="13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<sst xmlns="http://schemas.openxmlformats.org/spreadsheetml/2006/main" count="166" uniqueCount="86">
  <si>
    <t>Serviço</t>
  </si>
  <si>
    <t>Descrição</t>
  </si>
  <si>
    <t>Complexidade</t>
  </si>
  <si>
    <t>Tipo</t>
  </si>
  <si>
    <t>Onde se Aplica?</t>
  </si>
  <si>
    <t>Tempo p/ Implantação</t>
  </si>
  <si>
    <t>Dados das OS - Gprod</t>
  </si>
  <si>
    <t>Tipos</t>
  </si>
  <si>
    <t>Suporte</t>
  </si>
  <si>
    <t>Projetizado</t>
  </si>
  <si>
    <t>Rotineira</t>
  </si>
  <si>
    <t>OSA</t>
  </si>
  <si>
    <t>Infra</t>
  </si>
  <si>
    <t>Sustentação</t>
  </si>
  <si>
    <t>Fabrica</t>
  </si>
  <si>
    <t>Alta</t>
  </si>
  <si>
    <t>Média</t>
  </si>
  <si>
    <t>Baixa</t>
  </si>
  <si>
    <t>Recursos Necessários</t>
  </si>
  <si>
    <t>Software</t>
  </si>
  <si>
    <t>Hardware</t>
  </si>
  <si>
    <t>Humanos CTIS</t>
  </si>
  <si>
    <t>Humanos Terceiros</t>
  </si>
  <si>
    <t>Pre-Requisito</t>
  </si>
  <si>
    <t>Instalações</t>
  </si>
  <si>
    <t>Cultura</t>
  </si>
  <si>
    <t>Case Cliente</t>
  </si>
  <si>
    <t>Case Periodo</t>
  </si>
  <si>
    <t>Case de Clientes</t>
  </si>
  <si>
    <t>Custo UST R$</t>
  </si>
  <si>
    <t>Local</t>
  </si>
  <si>
    <t>Remoto</t>
  </si>
  <si>
    <t>Especialista</t>
  </si>
  <si>
    <t>Pré Requistos do Serviço</t>
  </si>
  <si>
    <t>Detalhamento Técnico</t>
  </si>
  <si>
    <t>Outros Clientes</t>
  </si>
  <si>
    <t>Outras Informações</t>
  </si>
  <si>
    <t>Humanos Terc.</t>
  </si>
  <si>
    <t>Harware</t>
  </si>
  <si>
    <t>Instalação</t>
  </si>
  <si>
    <t>software_pre</t>
  </si>
  <si>
    <t>ID</t>
  </si>
  <si>
    <t>Status</t>
  </si>
  <si>
    <t>Ciclo</t>
  </si>
  <si>
    <t>Perfil Pressuposto</t>
  </si>
  <si>
    <t>serviço</t>
  </si>
  <si>
    <t>descrição</t>
  </si>
  <si>
    <t>10 dias</t>
  </si>
  <si>
    <t>EMBRAER</t>
  </si>
  <si>
    <t>180 dias</t>
  </si>
  <si>
    <t>BOEING</t>
  </si>
  <si>
    <t>perfil pressuposto</t>
  </si>
  <si>
    <t>detalhamento técnico</t>
  </si>
  <si>
    <t>outras informações</t>
  </si>
  <si>
    <t>Em analise</t>
  </si>
  <si>
    <t>ciclo teste</t>
  </si>
  <si>
    <t>Aprovação</t>
  </si>
  <si>
    <t>Rótulos de Linha</t>
  </si>
  <si>
    <t>Total Geral</t>
  </si>
  <si>
    <t>Rótulos de Coluna</t>
  </si>
  <si>
    <t>Contagem de ID</t>
  </si>
  <si>
    <t>Soma de Custo UST R$</t>
  </si>
  <si>
    <t>serviço 2</t>
  </si>
  <si>
    <t>GOOGLE</t>
  </si>
  <si>
    <t>detalhamento tecnico</t>
  </si>
  <si>
    <t>outras  informações</t>
  </si>
  <si>
    <t>serviço 3</t>
  </si>
  <si>
    <t>MICROSOFT</t>
  </si>
  <si>
    <t>perfil</t>
  </si>
  <si>
    <t>outras</t>
  </si>
  <si>
    <t>QUINTO ANDAR</t>
  </si>
  <si>
    <t>d</t>
  </si>
  <si>
    <t>desc</t>
  </si>
  <si>
    <t>VALE</t>
  </si>
  <si>
    <t>a</t>
  </si>
  <si>
    <t>Ferrari</t>
  </si>
  <si>
    <t>det</t>
  </si>
  <si>
    <t>GLOBO</t>
  </si>
  <si>
    <t>asdasd</t>
  </si>
  <si>
    <t>asdad</t>
  </si>
  <si>
    <t>asda</t>
  </si>
  <si>
    <t>fsdf</t>
  </si>
  <si>
    <t>NASA</t>
  </si>
  <si>
    <t>fg</t>
  </si>
  <si>
    <t>fd</t>
  </si>
  <si>
    <t>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</si>
</sst>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 applyAlignment="1"/>
    <xf numFmtId="164" fontId="0" fillId="0" borderId="0" xfId="0" applyNumberFormat="1"/>
    <xf numFmtId="4" fontId="0" fillId="0" borderId="0" xfId="0" applyNumberFormat="1"/>
    <xf numFmtId="0" fontId="3" fillId="0" borderId="0" xfId="0" applyFont="1" applyAlignment="1">
      <alignment horizontal="center"/>
    </xf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2" fillId="3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0" fontId="4" fillId="0" borderId="0" xfId="0" applyFont="1"/>
    <xf numFmtId="0" fontId="1" fillId="0" borderId="0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[abertura_osv21_generica.xlsm]apoio_tables!Tabela dinâmica2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apoio_tables!$R$2:$R$3</c:f>
              <c:strCache>
                <c:ptCount val="1"/>
                <c:pt idx="0">
                  <c:v>serviço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apoio_tables!$Q$4:$Q$13</c:f>
              <c:strCache>
                <c:ptCount val="9"/>
                <c:pt idx="0">
                  <c:v>BOEING</c:v>
                </c:pt>
                <c:pt idx="1">
                  <c:v>EMBRAER</c:v>
                </c:pt>
                <c:pt idx="2">
                  <c:v>GOOGLE</c:v>
                </c:pt>
                <c:pt idx="3">
                  <c:v>MICROSOFT</c:v>
                </c:pt>
                <c:pt idx="4">
                  <c:v>QUINTO ANDAR</c:v>
                </c:pt>
                <c:pt idx="5">
                  <c:v>VALE</c:v>
                </c:pt>
                <c:pt idx="6">
                  <c:v>Ferrari</c:v>
                </c:pt>
                <c:pt idx="7">
                  <c:v>GLOBO</c:v>
                </c:pt>
                <c:pt idx="8">
                  <c:v>NASA</c:v>
                </c:pt>
              </c:strCache>
            </c:strRef>
          </c:cat>
          <c:val>
            <c:numRef>
              <c:f>apoio_tables!$R$4:$R$13</c:f>
              <c:numCache>
                <c:formatCode>General</c:formatCode>
                <c:ptCount val="9"/>
                <c:pt idx="0">
                  <c:v>140000</c:v>
                </c:pt>
                <c:pt idx="1">
                  <c:v>10</c:v>
                </c:pt>
                <c:pt idx="4">
                  <c:v>155000</c:v>
                </c:pt>
                <c:pt idx="5">
                  <c:v>189000</c:v>
                </c:pt>
                <c:pt idx="6">
                  <c:v>45000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18-42E3-A3F5-7408F81B7EE9}"/>
            </c:ext>
          </c:extLst>
        </c:ser>
        <c:ser>
          <c:idx val="1"/>
          <c:order val="1"/>
          <c:tx>
            <c:strRef>
              <c:f>apoio_tables!$S$2:$S$3</c:f>
              <c:strCache>
                <c:ptCount val="1"/>
                <c:pt idx="0">
                  <c:v>serviço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apoio_tables!$Q$4:$Q$13</c:f>
              <c:strCache>
                <c:ptCount val="9"/>
                <c:pt idx="0">
                  <c:v>BOEING</c:v>
                </c:pt>
                <c:pt idx="1">
                  <c:v>EMBRAER</c:v>
                </c:pt>
                <c:pt idx="2">
                  <c:v>GOOGLE</c:v>
                </c:pt>
                <c:pt idx="3">
                  <c:v>MICROSOFT</c:v>
                </c:pt>
                <c:pt idx="4">
                  <c:v>QUINTO ANDAR</c:v>
                </c:pt>
                <c:pt idx="5">
                  <c:v>VALE</c:v>
                </c:pt>
                <c:pt idx="6">
                  <c:v>Ferrari</c:v>
                </c:pt>
                <c:pt idx="7">
                  <c:v>GLOBO</c:v>
                </c:pt>
                <c:pt idx="8">
                  <c:v>NASA</c:v>
                </c:pt>
              </c:strCache>
            </c:strRef>
          </c:cat>
          <c:val>
            <c:numRef>
              <c:f>apoio_tables!$S$4:$S$13</c:f>
              <c:numCache>
                <c:formatCode>General</c:formatCode>
                <c:ptCount val="9"/>
                <c:pt idx="2">
                  <c:v>85000</c:v>
                </c:pt>
                <c:pt idx="8">
                  <c:v>1250000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2418-42E3-A3F5-7408F81B7EE9}"/>
            </c:ext>
          </c:extLst>
        </c:ser>
        <c:ser>
          <c:idx val="2"/>
          <c:order val="2"/>
          <c:tx>
            <c:strRef>
              <c:f>apoio_tables!$T$2:$T$3</c:f>
              <c:strCache>
                <c:ptCount val="1"/>
                <c:pt idx="0">
                  <c:v>serviço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apoio_tables!$Q$4:$Q$13</c:f>
              <c:strCache>
                <c:ptCount val="9"/>
                <c:pt idx="0">
                  <c:v>BOEING</c:v>
                </c:pt>
                <c:pt idx="1">
                  <c:v>EMBRAER</c:v>
                </c:pt>
                <c:pt idx="2">
                  <c:v>GOOGLE</c:v>
                </c:pt>
                <c:pt idx="3">
                  <c:v>MICROSOFT</c:v>
                </c:pt>
                <c:pt idx="4">
                  <c:v>QUINTO ANDAR</c:v>
                </c:pt>
                <c:pt idx="5">
                  <c:v>VALE</c:v>
                </c:pt>
                <c:pt idx="6">
                  <c:v>Ferrari</c:v>
                </c:pt>
                <c:pt idx="7">
                  <c:v>GLOBO</c:v>
                </c:pt>
                <c:pt idx="8">
                  <c:v>NASA</c:v>
                </c:pt>
              </c:strCache>
            </c:strRef>
          </c:cat>
          <c:val>
            <c:numRef>
              <c:f>apoio_tables!$T$4:$T$13</c:f>
              <c:numCache>
                <c:formatCode>General</c:formatCode>
                <c:ptCount val="9"/>
                <c:pt idx="3">
                  <c:v>35000</c:v>
                </c:pt>
                <c:pt idx="7">
                  <c:v>200000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5-2418-42E3-A3F5-7408F81B7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41477136"/>
        <c:axId val="-1941488560"/>
      </c:barChart>
      <c:catAx>
        <c:axId val="-19414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1488560"/>
        <c:crosses val="autoZero"/>
        <c:auto val="1"/>
        <c:lblAlgn val="ctr"/>
        <c:lblOffset val="100"/>
        <c:noMultiLvlLbl val="0"/>
      </c:catAx>
      <c:valAx>
        <c:axId val="-19414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14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[abertura_osv21_generica.xlsm]apoio_tables!Tabela dinâmica1</c:name>
    <c:fmtId val="4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apoio_tables!$C$2:$C$3</c:f>
              <c:strCache>
                <c:ptCount val="1"/>
                <c:pt idx="0">
                  <c:v>ciclo teste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apoio_tables!$B$4:$B$6</c:f>
              <c:strCache>
                <c:ptCount val="2"/>
                <c:pt idx="0">
                  <c:v>Aprovação</c:v>
                </c:pt>
                <c:pt idx="1">
                  <c:v>Em analise</c:v>
                </c:pt>
              </c:strCache>
            </c:strRef>
          </c:cat>
          <c:val>
            <c:numRef>
              <c:f>apoio_tables!$C$4:$C$6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A8-41F8-A301-F421B4086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41503248"/>
        <c:axId val="-1941488016"/>
      </c:barChart>
      <c:catAx>
        <c:axId val="-194150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1488016"/>
        <c:crosses val="autoZero"/>
        <c:auto val="1"/>
        <c:lblAlgn val="ctr"/>
        <c:lblOffset val="100"/>
        <c:noMultiLvlLbl val="0"/>
      </c:catAx>
      <c:valAx>
        <c:axId val="-194148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150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[abertura_osv21_generica.xlsm]apoio_tables!Tabela dinâmica1</c:name>
    <c:fmtId val="18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 w="3175">
                    <a:solidFill>
                      <a:schemeClr val="bg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apoio_tables!$C$2:$C$3</c:f>
              <c:strCache>
                <c:ptCount val="1"/>
                <c:pt idx="0">
                  <c:v>ciclo teste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D74-4A97-9D67-27A78C1EAB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D74-4A97-9D67-27A78C1EAB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 w="3175">
                      <a:solidFill>
                        <a:schemeClr val="bg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apoio_tables!$B$4:$B$6</c:f>
              <c:strCache>
                <c:ptCount val="2"/>
                <c:pt idx="0">
                  <c:v>Aprovação</c:v>
                </c:pt>
                <c:pt idx="1">
                  <c:v>Em analise</c:v>
                </c:pt>
              </c:strCache>
            </c:strRef>
          </c:cat>
          <c:val>
            <c:numRef>
              <c:f>apoio_tables!$C$4:$C$6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D74-4A97-9D67-27A78C1EABB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3</xdr:row>
      <xdr:rowOff>9525</xdr:rowOff>
    </xdr:from>
    <xdr:to>
      <xdr:col>20</xdr:col>
      <xdr:colOff>476250</xdr:colOff>
      <xdr:row>17</xdr:row>
      <xdr:rowOff>85725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257175</xdr:colOff>
      <xdr:row>0</xdr:row>
      <xdr:rowOff>127000</xdr:rowOff>
    </xdr:from>
    <xdr:to>
      <xdr:col>20</xdr:col>
      <xdr:colOff>371475</xdr:colOff>
      <xdr:row>2</xdr:row>
      <xdr:rowOff>174626</xdr:rowOff>
    </xdr:to>
    <xdr:grpSp>
      <xdr:nvGrpSpPr>
        <xdr:cNvPr id="17" name="menu_full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GrpSpPr/>
      </xdr:nvGrpSpPr>
      <xdr:grpSpPr>
        <a:xfrm>
          <a:off x="10620375" y="127000"/>
          <a:ext cx="1943100" cy="428626"/>
          <a:chOff x="10782300" y="571499"/>
          <a:chExt cx="1943100" cy="428626"/>
        </a:xfrm>
      </xdr:grpSpPr>
      <xdr:sp macro="" textlink="">
        <xdr:nvSpPr>
          <xdr:cNvPr id="11" name="menubackground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/>
        </xdr:nvSpPr>
        <xdr:spPr>
          <a:xfrm rot="10800000">
            <a:off x="10782300" y="571499"/>
            <a:ext cx="1943100" cy="428626"/>
          </a:xfrm>
          <a:prstGeom prst="snip1Rect">
            <a:avLst/>
          </a:prstGeom>
          <a:solidFill>
            <a:schemeClr val="bg2">
              <a:lumMod val="75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userteste">
        <xdr:nvPicPr>
          <xdr:cNvPr id="14" name="Imagem 13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77549" y="628649"/>
            <a:ext cx="332765" cy="305601"/>
          </a:xfrm>
          <a:prstGeom prst="rect">
            <a:avLst/>
          </a:prstGeom>
        </xdr:spPr>
      </xdr:pic>
      <xdr:pic>
        <xdr:nvPicPr>
          <xdr:cNvPr id="15" name="Imagem 14">
            <a:extLst>
              <a:ext uri="{FF2B5EF4-FFF2-40B4-BE49-F238E27FC236}">
                <a16:creationId xmlns:a16="http://schemas.microsoft.com/office/drawing/2014/main" xmlns="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1899" y="609600"/>
            <a:ext cx="466115" cy="3499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9526</xdr:colOff>
      <xdr:row>0</xdr:row>
      <xdr:rowOff>47625</xdr:rowOff>
    </xdr:from>
    <xdr:to>
      <xdr:col>20</xdr:col>
      <xdr:colOff>533398</xdr:colOff>
      <xdr:row>2</xdr:row>
      <xdr:rowOff>180975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526" y="47625"/>
          <a:ext cx="12715872" cy="514350"/>
        </a:xfrm>
        <a:prstGeom prst="rec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133350</xdr:colOff>
      <xdr:row>0</xdr:row>
      <xdr:rowOff>38100</xdr:rowOff>
    </xdr:from>
    <xdr:ext cx="2878480" cy="468013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010150" y="38100"/>
          <a:ext cx="28784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>
              <a:solidFill>
                <a:srgbClr val="002060"/>
              </a:solidFill>
            </a:rPr>
            <a:t>Catálogo</a:t>
          </a:r>
          <a:r>
            <a:rPr lang="pt-BR" sz="2400" baseline="0">
              <a:solidFill>
                <a:srgbClr val="002060"/>
              </a:solidFill>
            </a:rPr>
            <a:t> de Produtos</a:t>
          </a:r>
          <a:endParaRPr lang="pt-BR" sz="2400">
            <a:solidFill>
              <a:srgbClr val="002060"/>
            </a:solidFill>
          </a:endParaRPr>
        </a:p>
      </xdr:txBody>
    </xdr:sp>
    <xdr:clientData/>
  </xdr:oneCellAnchor>
  <xdr:twoCellAnchor>
    <xdr:from>
      <xdr:col>0</xdr:col>
      <xdr:colOff>9525</xdr:colOff>
      <xdr:row>3</xdr:row>
      <xdr:rowOff>1</xdr:rowOff>
    </xdr:from>
    <xdr:to>
      <xdr:col>20</xdr:col>
      <xdr:colOff>533400</xdr:colOff>
      <xdr:row>3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CxnSpPr/>
      </xdr:nvCxnSpPr>
      <xdr:spPr>
        <a:xfrm>
          <a:off x="9525" y="571501"/>
          <a:ext cx="12715875" cy="9524"/>
        </a:xfrm>
        <a:prstGeom prst="line">
          <a:avLst/>
        </a:prstGeom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209543</xdr:colOff>
      <xdr:row>0</xdr:row>
      <xdr:rowOff>85725</xdr:rowOff>
    </xdr:from>
    <xdr:to>
      <xdr:col>20</xdr:col>
      <xdr:colOff>295268</xdr:colOff>
      <xdr:row>2</xdr:row>
      <xdr:rowOff>161924</xdr:rowOff>
    </xdr:to>
    <xdr:pic macro="[0]!slidingdown">
      <xdr:nvPicPr>
        <xdr:cNvPr id="13" name="hamburguer-icon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791943" y="85725"/>
          <a:ext cx="695325" cy="457199"/>
        </a:xfrm>
        <a:prstGeom prst="rect">
          <a:avLst/>
        </a:prstGeom>
      </xdr:spPr>
    </xdr:pic>
    <xdr:clientData/>
  </xdr:twoCellAnchor>
  <xdr:twoCellAnchor>
    <xdr:from>
      <xdr:col>19</xdr:col>
      <xdr:colOff>342900</xdr:colOff>
      <xdr:row>0</xdr:row>
      <xdr:rowOff>161925</xdr:rowOff>
    </xdr:from>
    <xdr:to>
      <xdr:col>20</xdr:col>
      <xdr:colOff>152400</xdr:colOff>
      <xdr:row>2</xdr:row>
      <xdr:rowOff>47625</xdr:rowOff>
    </xdr:to>
    <xdr:sp macro="[0]!slidingup" textlink="">
      <xdr:nvSpPr>
        <xdr:cNvPr id="16" name="quadshapemenu" hidden="1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1925300" y="161925"/>
          <a:ext cx="419100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9524</xdr:colOff>
      <xdr:row>3</xdr:row>
      <xdr:rowOff>19049</xdr:rowOff>
    </xdr:from>
    <xdr:to>
      <xdr:col>7</xdr:col>
      <xdr:colOff>107951</xdr:colOff>
      <xdr:row>17</xdr:row>
      <xdr:rowOff>85724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114300</xdr:colOff>
      <xdr:row>3</xdr:row>
      <xdr:rowOff>9525</xdr:rowOff>
    </xdr:from>
    <xdr:to>
      <xdr:col>14</xdr:col>
      <xdr:colOff>419100</xdr:colOff>
      <xdr:row>17</xdr:row>
      <xdr:rowOff>85725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19050</xdr:colOff>
      <xdr:row>17</xdr:row>
      <xdr:rowOff>114300</xdr:rowOff>
    </xdr:from>
    <xdr:to>
      <xdr:col>3</xdr:col>
      <xdr:colOff>19050</xdr:colOff>
      <xdr:row>22</xdr:row>
      <xdr:rowOff>19049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Onde se Aplica?">
              <a:extLst>
                <a:ext uri="{FF2B5EF4-FFF2-40B4-BE49-F238E27FC236}">
                  <a16:creationId xmlns:a16="http://schemas.microsoft.com/office/drawing/2014/main" xmlns="" id="{33F78016-A842-42EA-AFC1-2644C6E69B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nde se Aplic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3352800"/>
              <a:ext cx="1828800" cy="933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28575</xdr:colOff>
      <xdr:row>17</xdr:row>
      <xdr:rowOff>114300</xdr:rowOff>
    </xdr:from>
    <xdr:to>
      <xdr:col>6</xdr:col>
      <xdr:colOff>28575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ipo">
              <a:extLst>
                <a:ext uri="{FF2B5EF4-FFF2-40B4-BE49-F238E27FC236}">
                  <a16:creationId xmlns:a16="http://schemas.microsoft.com/office/drawing/2014/main" xmlns="" id="{35891A32-7DA5-4FB7-85BD-ACF7EB8C88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7375" y="3352800"/>
              <a:ext cx="1828800" cy="93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47625</xdr:colOff>
      <xdr:row>17</xdr:row>
      <xdr:rowOff>114300</xdr:rowOff>
    </xdr:from>
    <xdr:to>
      <xdr:col>9</xdr:col>
      <xdr:colOff>47625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Status">
              <a:extLst>
                <a:ext uri="{FF2B5EF4-FFF2-40B4-BE49-F238E27FC236}">
                  <a16:creationId xmlns:a16="http://schemas.microsoft.com/office/drawing/2014/main" xmlns="" id="{BBD7B133-9B39-4CF6-8CF0-6116AE06FE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5225" y="3352800"/>
              <a:ext cx="1828800" cy="93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66675</xdr:colOff>
      <xdr:row>17</xdr:row>
      <xdr:rowOff>114299</xdr:rowOff>
    </xdr:from>
    <xdr:to>
      <xdr:col>12</xdr:col>
      <xdr:colOff>66675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Ciclo">
              <a:extLst>
                <a:ext uri="{FF2B5EF4-FFF2-40B4-BE49-F238E27FC236}">
                  <a16:creationId xmlns:a16="http://schemas.microsoft.com/office/drawing/2014/main" xmlns="" id="{34B4CBE7-7209-4F5C-9E23-94EB1F3067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c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53075" y="3352799"/>
              <a:ext cx="1828800" cy="9334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573551</xdr:colOff>
      <xdr:row>0</xdr:row>
      <xdr:rowOff>157672</xdr:rowOff>
    </xdr:from>
    <xdr:to>
      <xdr:col>5</xdr:col>
      <xdr:colOff>72622</xdr:colOff>
      <xdr:row>4</xdr:row>
      <xdr:rowOff>152775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130" y="157672"/>
          <a:ext cx="2222887" cy="730366"/>
        </a:xfrm>
        <a:prstGeom prst="rect">
          <a:avLst/>
        </a:prstGeom>
      </xdr:spPr>
    </xdr:pic>
    <xdr:clientData/>
  </xdr:twoCellAnchor>
  <xdr:twoCellAnchor editAs="oneCell">
    <xdr:from>
      <xdr:col>24</xdr:col>
      <xdr:colOff>137996</xdr:colOff>
      <xdr:row>1</xdr:row>
      <xdr:rowOff>74120</xdr:rowOff>
    </xdr:from>
    <xdr:to>
      <xdr:col>27</xdr:col>
      <xdr:colOff>252284</xdr:colOff>
      <xdr:row>4</xdr:row>
      <xdr:rowOff>370403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97075" y="257936"/>
          <a:ext cx="2437051" cy="8477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o" refreshedDate="43753.92305578704" createdVersion="5" refreshedVersion="6" minRefreshableVersion="3" recordCount="9">
  <cacheSource type="worksheet">
    <worksheetSource name="Tabela610"/>
  </cacheSource>
  <cacheFields count="26">
    <cacheField name="Serviço" numFmtId="0">
      <sharedItems count="3">
        <s v="serviço"/>
        <s v="serviço 2"/>
        <s v="serviço 3"/>
      </sharedItems>
    </cacheField>
    <cacheField name="Descrição" numFmtId="0">
      <sharedItems/>
    </cacheField>
    <cacheField name="Tipo" numFmtId="0">
      <sharedItems count="3">
        <s v="Fabrica"/>
        <s v="Sustentação"/>
        <s v="Infra"/>
      </sharedItems>
    </cacheField>
    <cacheField name="Onde se Aplica?" numFmtId="0">
      <sharedItems count="3">
        <s v="Rotineira"/>
        <s v="Suporte"/>
        <s v="Projetizado"/>
      </sharedItems>
    </cacheField>
    <cacheField name="Custo UST R$" numFmtId="0">
      <sharedItems containsSemiMixedTypes="0" containsString="0" containsNumber="1" containsInteger="1" minValue="10" maxValue="1250000"/>
    </cacheField>
    <cacheField name="Tempo p/ Implantação" numFmtId="0">
      <sharedItems containsMixedTypes="1" containsNumber="1" containsInteger="1" minValue="12" maxValue="120"/>
    </cacheField>
    <cacheField name="Case Cliente" numFmtId="0">
      <sharedItems count="9">
        <s v="EMBRAER"/>
        <s v="BOEING"/>
        <s v="GOOGLE"/>
        <s v="MICROSOFT"/>
        <s v="QUINTO ANDAR"/>
        <s v="VALE"/>
        <s v="Ferrari"/>
        <s v="GLOBO"/>
        <s v="NASA"/>
      </sharedItems>
    </cacheField>
    <cacheField name="Case Periodo" numFmtId="0">
      <sharedItems containsMixedTypes="1" containsNumber="1" containsInteger="1" minValue="15" maxValue="900"/>
    </cacheField>
    <cacheField name="Perfil Pressuposto" numFmtId="0">
      <sharedItems containsBlank="1"/>
    </cacheField>
    <cacheField name="Remoto" numFmtId="0">
      <sharedItems/>
    </cacheField>
    <cacheField name="Local" numFmtId="0">
      <sharedItems/>
    </cacheField>
    <cacheField name="Especialista" numFmtId="0">
      <sharedItems/>
    </cacheField>
    <cacheField name="Detalhamento Técnico" numFmtId="0">
      <sharedItems containsBlank="1"/>
    </cacheField>
    <cacheField name="Outros Clientes" numFmtId="0">
      <sharedItems containsNonDate="0" containsString="0" containsBlank="1"/>
    </cacheField>
    <cacheField name="Outras Informações" numFmtId="0">
      <sharedItems containsBlank="1"/>
    </cacheField>
    <cacheField name="Software" numFmtId="0">
      <sharedItems containsBlank="1"/>
    </cacheField>
    <cacheField name="Hardware" numFmtId="0">
      <sharedItems containsBlank="1"/>
    </cacheField>
    <cacheField name="Humanos CTIS" numFmtId="0">
      <sharedItems containsBlank="1"/>
    </cacheField>
    <cacheField name="Humanos Terc." numFmtId="0">
      <sharedItems containsBlank="1"/>
    </cacheField>
    <cacheField name="software_pre" numFmtId="0">
      <sharedItems containsBlank="1"/>
    </cacheField>
    <cacheField name="Harware" numFmtId="0">
      <sharedItems containsBlank="1"/>
    </cacheField>
    <cacheField name="Instalação" numFmtId="0">
      <sharedItems containsBlank="1"/>
    </cacheField>
    <cacheField name="Cultura" numFmtId="0">
      <sharedItems containsBlank="1"/>
    </cacheField>
    <cacheField name="ID" numFmtId="0">
      <sharedItems containsSemiMixedTypes="0" containsString="0" containsNumber="1" containsInteger="1" minValue="0" maxValue="5"/>
    </cacheField>
    <cacheField name="Status" numFmtId="0">
      <sharedItems count="2">
        <s v="Em analise"/>
        <s v="Aprovação"/>
      </sharedItems>
    </cacheField>
    <cacheField name="Ciclo" numFmtId="0">
      <sharedItems count="1">
        <s v="ciclo teste"/>
      </sharedItems>
    </cacheField>
  </cacheFields>
  <extLst>
    <ext xmlns:x14="http://schemas.microsoft.com/office/spreadsheetml/2009/9/main" uri="{725AE2AE-9491-48be-B2B4-4EB974FC3084}">
      <x14:pivotCacheDefinition pivotCacheId="13150865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descrição"/>
    <x v="0"/>
    <x v="0"/>
    <n v="10"/>
    <s v="10 dias"/>
    <x v="0"/>
    <s v="180 dias"/>
    <m/>
    <b v="1"/>
    <b v="0"/>
    <b v="1"/>
    <m/>
    <m/>
    <m/>
    <m/>
    <m/>
    <m/>
    <m/>
    <m/>
    <m/>
    <m/>
    <m/>
    <n v="1"/>
    <x v="0"/>
    <x v="0"/>
  </r>
  <r>
    <x v="0"/>
    <s v="descrição"/>
    <x v="1"/>
    <x v="0"/>
    <n v="140000"/>
    <n v="40"/>
    <x v="1"/>
    <n v="720"/>
    <s v="perfil pressuposto"/>
    <b v="1"/>
    <b v="0"/>
    <b v="1"/>
    <s v="detalhamento técnico"/>
    <m/>
    <s v="outras informações"/>
    <b v="1"/>
    <b v="0"/>
    <b v="1"/>
    <b v="0"/>
    <b v="1"/>
    <b v="1"/>
    <b v="1"/>
    <b v="1"/>
    <n v="2"/>
    <x v="1"/>
    <x v="0"/>
  </r>
  <r>
    <x v="1"/>
    <s v="descrição"/>
    <x v="1"/>
    <x v="0"/>
    <n v="85000"/>
    <n v="60"/>
    <x v="2"/>
    <n v="120"/>
    <s v="perfil pressuposto"/>
    <b v="0"/>
    <b v="1"/>
    <b v="1"/>
    <s v="detalhamento tecnico"/>
    <m/>
    <s v="outras  informações"/>
    <b v="1"/>
    <b v="1"/>
    <b v="0"/>
    <b v="1"/>
    <b v="0"/>
    <b v="1"/>
    <b v="1"/>
    <b v="0"/>
    <n v="3"/>
    <x v="0"/>
    <x v="0"/>
  </r>
  <r>
    <x v="2"/>
    <s v="descrição"/>
    <x v="1"/>
    <x v="0"/>
    <n v="35000"/>
    <n v="12"/>
    <x v="3"/>
    <n v="125"/>
    <s v="perfil"/>
    <b v="1"/>
    <b v="0"/>
    <b v="1"/>
    <s v="detalhamento tecnico"/>
    <m/>
    <s v="outras"/>
    <b v="0"/>
    <b v="0"/>
    <b v="1"/>
    <b v="0"/>
    <b v="0"/>
    <b v="0"/>
    <b v="0"/>
    <b v="0"/>
    <n v="4"/>
    <x v="0"/>
    <x v="0"/>
  </r>
  <r>
    <x v="0"/>
    <s v="descrição"/>
    <x v="1"/>
    <x v="0"/>
    <n v="155000"/>
    <n v="14"/>
    <x v="4"/>
    <n v="15"/>
    <s v="d"/>
    <b v="1"/>
    <b v="0"/>
    <b v="1"/>
    <s v="d"/>
    <m/>
    <s v="d"/>
    <b v="1"/>
    <b v="0"/>
    <b v="1"/>
    <b v="0"/>
    <b v="0"/>
    <b v="0"/>
    <b v="1"/>
    <b v="1"/>
    <n v="5"/>
    <x v="0"/>
    <x v="0"/>
  </r>
  <r>
    <x v="0"/>
    <s v="desc"/>
    <x v="1"/>
    <x v="0"/>
    <n v="189000"/>
    <n v="25"/>
    <x v="5"/>
    <n v="124"/>
    <s v="a"/>
    <b v="1"/>
    <b v="0"/>
    <b v="1"/>
    <s v="a"/>
    <m/>
    <m/>
    <b v="1"/>
    <b v="1"/>
    <b v="0"/>
    <b v="0"/>
    <b v="0"/>
    <b v="0"/>
    <b v="1"/>
    <b v="1"/>
    <n v="0"/>
    <x v="0"/>
    <x v="0"/>
  </r>
  <r>
    <x v="0"/>
    <s v="desc"/>
    <x v="0"/>
    <x v="1"/>
    <n v="45000"/>
    <n v="90"/>
    <x v="6"/>
    <n v="900"/>
    <s v="det"/>
    <b v="0"/>
    <b v="1"/>
    <b v="1"/>
    <s v="det"/>
    <m/>
    <s v="det"/>
    <b v="1"/>
    <b v="1"/>
    <b v="0"/>
    <b v="0"/>
    <b v="0"/>
    <b v="0"/>
    <b v="1"/>
    <b v="1"/>
    <n v="0"/>
    <x v="0"/>
    <x v="0"/>
  </r>
  <r>
    <x v="2"/>
    <s v="desc"/>
    <x v="2"/>
    <x v="1"/>
    <n v="200000"/>
    <n v="15"/>
    <x v="7"/>
    <n v="15"/>
    <s v="asdasd"/>
    <b v="1"/>
    <b v="0"/>
    <b v="1"/>
    <s v="asdad"/>
    <m/>
    <s v="asda"/>
    <b v="1"/>
    <b v="0"/>
    <b v="0"/>
    <b v="0"/>
    <b v="0"/>
    <b v="0"/>
    <b v="1"/>
    <b v="0"/>
    <n v="0"/>
    <x v="0"/>
    <x v="0"/>
  </r>
  <r>
    <x v="1"/>
    <s v="fsdf"/>
    <x v="1"/>
    <x v="2"/>
    <n v="1250000"/>
    <n v="120"/>
    <x v="8"/>
    <n v="900"/>
    <s v="fg"/>
    <b v="1"/>
    <b v="1"/>
    <b v="1"/>
    <s v="fd"/>
    <m/>
    <s v="dfg"/>
    <b v="0"/>
    <b v="0"/>
    <b v="1"/>
    <b v="0"/>
    <b v="0"/>
    <b v="0"/>
    <b v="1"/>
    <b v="1"/>
    <n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9">
  <location ref="B2:D6" firstHeaderRow="1" firstDataRow="2" firstDataCol="1"/>
  <pivotFields count="26">
    <pivotField showAll="0"/>
    <pivotField showAll="0"/>
    <pivotField showAll="0">
      <items count="4">
        <item x="0"/>
        <item x="2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  <pivotField axis="axisCol" showAll="0">
      <items count="2">
        <item x="0"/>
        <item t="default"/>
      </items>
    </pivotField>
  </pivotFields>
  <rowFields count="1">
    <field x="24"/>
  </rowFields>
  <rowItems count="3">
    <i>
      <x/>
    </i>
    <i>
      <x v="1"/>
    </i>
    <i t="grand">
      <x/>
    </i>
  </rowItems>
  <colFields count="1">
    <field x="25"/>
  </colFields>
  <colItems count="2">
    <i>
      <x/>
    </i>
    <i t="grand">
      <x/>
    </i>
  </colItems>
  <dataFields count="1">
    <dataField name="Contagem de ID" fld="23" subtotal="count" baseField="25" baseItem="0"/>
  </dataFields>
  <chartFormats count="7"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18" format="5">
      <pivotArea type="data" outline="0" fieldPosition="0">
        <references count="3">
          <reference field="4294967294" count="1" selected="0">
            <x v="0"/>
          </reference>
          <reference field="24" count="1" selected="0">
            <x v="0"/>
          </reference>
          <reference field="25" count="1" selected="0">
            <x v="0"/>
          </reference>
        </references>
      </pivotArea>
    </chartFormat>
    <chartFormat chart="18" format="6">
      <pivotArea type="data" outline="0" fieldPosition="0">
        <references count="3">
          <reference field="4294967294" count="1" selected="0">
            <x v="0"/>
          </reference>
          <reference field="24" count="1" selected="0">
            <x v="1"/>
          </reference>
          <reference field="25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">
  <location ref="Q2:U13" firstHeaderRow="1" firstDataRow="2" firstDataCol="1"/>
  <pivotFields count="26">
    <pivotField axis="axisCol" showAll="0">
      <items count="4">
        <item x="0"/>
        <item x="1"/>
        <item x="2"/>
        <item t="default"/>
      </items>
    </pivotField>
    <pivotField showAll="0"/>
    <pivotField showAll="0">
      <items count="4">
        <item x="0"/>
        <item x="2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dataField="1" showAll="0"/>
    <pivotField showAll="0"/>
    <pivotField axis="axisRow" showAll="0">
      <items count="10">
        <item x="1"/>
        <item x="0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2">
        <item x="0"/>
        <item t="default"/>
      </items>
    </pivotField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Custo UST R$" fld="4" baseField="0" baseItem="516939792"/>
  </dataFields>
  <chartFormats count="3"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Onde_se_Aplica?" sourceName="Onde se Aplica?">
  <pivotTables>
    <pivotTable tabId="4" name="Tabela dinâmica2"/>
    <pivotTable tabId="4" name="Tabela dinâmica1"/>
  </pivotTables>
  <data>
    <tabular pivotCacheId="1315086573">
      <items count="3">
        <i x="2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ipo" sourceName="Tipo">
  <pivotTables>
    <pivotTable tabId="4" name="Tabela dinâmica2"/>
    <pivotTable tabId="4" name="Tabela dinâmica1"/>
  </pivotTables>
  <data>
    <tabular pivotCacheId="1315086573">
      <items count="3"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tatus" sourceName="Status">
  <pivotTables>
    <pivotTable tabId="4" name="Tabela dinâmica2"/>
    <pivotTable tabId="4" name="Tabela dinâmica1"/>
  </pivotTables>
  <data>
    <tabular pivotCacheId="1315086573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iclo" sourceName="Ciclo">
  <pivotTables>
    <pivotTable tabId="4" name="Tabela dinâmica2"/>
  </pivotTables>
  <data>
    <tabular pivotCacheId="1315086573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nde se Aplica?" cache="SegmentaçãodeDados_Onde_se_Aplica?" caption="Onde se Aplica?" style="SlicerStyleDark1" rowHeight="241300"/>
  <slicer name="Tipo" cache="SegmentaçãodeDados_Tipo" caption="Tipo" startItem="1" style="SlicerStyleDark2" rowHeight="241300"/>
  <slicer name="Status" cache="SegmentaçãodeDados_Status" caption="Status" style="SlicerStyleDark3" rowHeight="241300"/>
  <slicer name="Ciclo" cache="SegmentaçãodeDados_Ciclo" caption="Ciclo" style="SlicerStyleDark4" rowHeight="241300"/>
</slicers>
</file>

<file path=xl/tables/table1.xml><?xml version="1.0" encoding="utf-8"?>
<table xmlns="http://schemas.openxmlformats.org/spreadsheetml/2006/main" id="9" name="Tabela610" displayName="Tabela610" ref="C7:AB16" totalsRowShown="0" headerRowDxfId="5">
  <tableColumns count="26">
    <tableColumn id="1" name="Serviço"/>
    <tableColumn id="2" name="Descrição"/>
    <tableColumn id="3" name="Tipo"/>
    <tableColumn id="4" name="Onde se Aplica?"/>
    <tableColumn id="10" name="Custo UST R$" dataDxfId="4"/>
    <tableColumn id="13" name="Tempo p/ Implantação"/>
    <tableColumn id="14" name="Case Cliente"/>
    <tableColumn id="15" name="Case Periodo" dataDxfId="3"/>
    <tableColumn id="20" name="Perfil Pressuposto"/>
    <tableColumn id="19" name="Remoto"/>
    <tableColumn id="18" name="Local"/>
    <tableColumn id="17" name="Especialista"/>
    <tableColumn id="5" name="Detalhamento Técnico"/>
    <tableColumn id="6" name="Outros Clientes"/>
    <tableColumn id="7" name="Outras Informações"/>
    <tableColumn id="8" name="Software"/>
    <tableColumn id="9" name="Hardware"/>
    <tableColumn id="11" name="Humanos CTIS"/>
    <tableColumn id="12" name="Humanos Terc."/>
    <tableColumn id="16" name="software_pre"/>
    <tableColumn id="21" name="Harware"/>
    <tableColumn id="22" name="Instalação"/>
    <tableColumn id="23" name="Cultura"/>
    <tableColumn id="24" name="ID"/>
    <tableColumn id="25" name="Status"/>
    <tableColumn id="26" name="Ciclo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id="2" name="apoio_tipos" displayName="apoio_tipos" ref="A1:A4" totalsRowShown="0">
  <tableColumns count="1">
    <tableColumn id="1" name="Tipos"/>
  </tableColumns>
  <tableStyleInfo name="TableStyleDark3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C1:C4" totalsRowShown="0">
  <tableColumns count="1">
    <tableColumn id="1" name="OSA"/>
  </tableColumns>
  <tableStyleInfo name="TableStyleDark3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E1:E4" totalsRowShown="0" headerRowDxfId="2" dataDxfId="1">
  <tableColumns count="1">
    <tableColumn id="1" name="Complexidade" dataDxfId="0"/>
  </tableColumns>
  <tableStyleInfo name="TableStyleDark3" showFirstColumn="0" showLastColumn="0" showRowStripes="1" showColumnStripes="0"/>
</table>
</file>

<file path=xl/tables/table5.xml><?xml version="1.0" encoding="utf-8"?>
<table xmlns="http://schemas.openxmlformats.org/spreadsheetml/2006/main" id="1" name="Tabela1" displayName="Tabela1" ref="G1:G5" totalsRowShown="0">
  <tableColumns count="1">
    <tableColumn id="1" name="Recursos Necessários"/>
  </tableColumns>
  <tableStyleInfo name="TableStyleDark3" showFirstColumn="0" showLastColumn="0" showRowStripes="1" showColumnStripes="0"/>
</table>
</file>

<file path=xl/tables/table6.xml><?xml version="1.0" encoding="utf-8"?>
<table xmlns="http://schemas.openxmlformats.org/spreadsheetml/2006/main" id="5" name="Tabela5" displayName="Tabela5" ref="I1:I5" totalsRowShown="0">
  <tableColumns count="1">
    <tableColumn id="1" name="Pre-Requisito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23160"/>
      </a:accent1>
      <a:accent2>
        <a:srgbClr val="FFC000"/>
      </a:accent2>
      <a:accent3>
        <a:srgbClr val="FF0000"/>
      </a:accent3>
      <a:accent4>
        <a:srgbClr val="00B05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G21"/>
  <sheetViews>
    <sheetView showGridLines="0" tabSelected="1" workbookViewId="0">
      <selection activeCell="T20" sqref="T20"/>
    </sheetView>
  </sheetViews>
  <sheetFormatPr defaultRowHeight="15" x14ac:dyDescent="0.25"/>
  <sheetData>
    <row r="21" spans="7:7" ht="21" x14ac:dyDescent="0.35">
      <c r="G21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5:AB16"/>
  <sheetViews>
    <sheetView showGridLines="0" topLeftCell="M1" zoomScale="57" zoomScaleNormal="57" workbookViewId="0">
      <selection activeCell="Z17" sqref="Z17"/>
    </sheetView>
  </sheetViews>
  <sheetFormatPr defaultRowHeight="15" x14ac:dyDescent="0.25"/>
  <cols>
    <col min="3" max="3" width="10.7109375" customWidth="1"/>
    <col min="4" max="4" width="13.7109375" customWidth="1"/>
    <col min="5" max="5" width="7.28515625" customWidth="1"/>
    <col min="6" max="6" width="21.28515625" customWidth="1"/>
    <col min="7" max="7" width="18.5703125" style="7" customWidth="1"/>
    <col min="8" max="9" width="25.7109375" customWidth="1"/>
    <col min="10" max="10" width="18.140625" style="5" customWidth="1"/>
    <col min="11" max="11" width="23.7109375" style="5" bestFit="1" customWidth="1"/>
    <col min="12" max="12" width="19" style="4" customWidth="1"/>
    <col min="13" max="13" width="27.85546875" customWidth="1"/>
    <col min="14" max="14" width="19.7109375" customWidth="1"/>
    <col min="15" max="15" width="27.140625" bestFit="1" customWidth="1"/>
    <col min="16" max="16" width="20.140625" bestFit="1" customWidth="1"/>
    <col min="17" max="17" width="24.42578125" bestFit="1" customWidth="1"/>
    <col min="18" max="18" width="18.140625" customWidth="1"/>
    <col min="19" max="19" width="23.7109375" bestFit="1" customWidth="1"/>
    <col min="20" max="21" width="18.140625" customWidth="1"/>
    <col min="22" max="22" width="24.5703125" customWidth="1"/>
    <col min="23" max="25" width="15.140625" bestFit="1" customWidth="1"/>
    <col min="27" max="27" width="10.85546875" bestFit="1" customWidth="1"/>
  </cols>
  <sheetData>
    <row r="5" spans="3:28" ht="31.5" x14ac:dyDescent="0.5">
      <c r="C5" s="14" t="s">
        <v>6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3:28" ht="15.75" x14ac:dyDescent="0.25">
      <c r="C6" s="3"/>
      <c r="D6" s="3"/>
      <c r="E6" s="3"/>
      <c r="F6" s="3"/>
      <c r="G6" s="11"/>
      <c r="H6" s="3"/>
      <c r="I6" s="15" t="s">
        <v>28</v>
      </c>
      <c r="J6" s="15"/>
      <c r="K6" s="3"/>
      <c r="L6" s="15" t="s">
        <v>8</v>
      </c>
      <c r="M6" s="15"/>
      <c r="N6" s="15"/>
      <c r="O6" s="3"/>
      <c r="P6" s="3"/>
      <c r="Q6" s="3"/>
      <c r="R6" s="16" t="s">
        <v>18</v>
      </c>
      <c r="S6" s="16"/>
      <c r="T6" s="16"/>
      <c r="U6" s="17"/>
      <c r="V6" s="15" t="s">
        <v>33</v>
      </c>
      <c r="W6" s="15"/>
      <c r="X6" s="15"/>
      <c r="Y6" s="15"/>
      <c r="Z6" s="3"/>
      <c r="AA6" s="3"/>
      <c r="AB6" s="3"/>
    </row>
    <row r="7" spans="3:28" x14ac:dyDescent="0.25">
      <c r="C7" s="1" t="s">
        <v>0</v>
      </c>
      <c r="D7" s="1" t="s">
        <v>1</v>
      </c>
      <c r="E7" s="1" t="s">
        <v>3</v>
      </c>
      <c r="F7" s="1" t="s">
        <v>4</v>
      </c>
      <c r="G7" s="12" t="s">
        <v>29</v>
      </c>
      <c r="H7" s="1" t="s">
        <v>5</v>
      </c>
      <c r="I7" s="1" t="s">
        <v>26</v>
      </c>
      <c r="J7" s="1" t="s">
        <v>27</v>
      </c>
      <c r="K7" s="1" t="s">
        <v>44</v>
      </c>
      <c r="L7" s="1" t="s">
        <v>31</v>
      </c>
      <c r="M7" s="6" t="s">
        <v>30</v>
      </c>
      <c r="N7" s="1" t="s">
        <v>32</v>
      </c>
      <c r="O7" s="1" t="s">
        <v>34</v>
      </c>
      <c r="P7" s="1" t="s">
        <v>35</v>
      </c>
      <c r="Q7" s="1" t="s">
        <v>36</v>
      </c>
      <c r="R7" s="1" t="s">
        <v>19</v>
      </c>
      <c r="S7" s="1" t="s">
        <v>20</v>
      </c>
      <c r="T7" s="1" t="s">
        <v>21</v>
      </c>
      <c r="U7" s="1" t="s">
        <v>37</v>
      </c>
      <c r="V7" s="1" t="s">
        <v>40</v>
      </c>
      <c r="W7" s="1" t="s">
        <v>38</v>
      </c>
      <c r="X7" s="1" t="s">
        <v>39</v>
      </c>
      <c r="Y7" s="1" t="s">
        <v>25</v>
      </c>
      <c r="Z7" s="1" t="s">
        <v>41</v>
      </c>
      <c r="AA7" s="1" t="s">
        <v>42</v>
      </c>
      <c r="AB7" s="1" t="s">
        <v>43</v>
      </c>
    </row>
    <row r="8" spans="3:28" x14ac:dyDescent="0.25">
      <c r="C8" t="s">
        <v>45</v>
      </c>
      <c r="D8" t="s">
        <v>46</v>
      </c>
      <c r="E8" t="s">
        <v>14</v>
      </c>
      <c r="F8" t="s">
        <v>10</v>
      </c>
      <c r="G8" s="7">
        <v>10</v>
      </c>
      <c r="H8" t="s">
        <v>47</v>
      </c>
      <c r="I8" t="s">
        <v>48</v>
      </c>
      <c r="J8" s="8" t="s">
        <v>49</v>
      </c>
      <c r="K8"/>
      <c r="L8" t="b">
        <v>1</v>
      </c>
      <c r="M8" t="b">
        <v>0</v>
      </c>
      <c r="N8" t="b">
        <v>1</v>
      </c>
      <c r="Z8">
        <v>1</v>
      </c>
      <c r="AA8" t="s">
        <v>54</v>
      </c>
      <c r="AB8" t="s">
        <v>55</v>
      </c>
    </row>
    <row r="9" spans="3:28" x14ac:dyDescent="0.25">
      <c r="C9" t="s">
        <v>45</v>
      </c>
      <c r="D9" t="s">
        <v>46</v>
      </c>
      <c r="E9" t="s">
        <v>13</v>
      </c>
      <c r="F9" t="s">
        <v>10</v>
      </c>
      <c r="G9" s="7">
        <v>140000</v>
      </c>
      <c r="H9">
        <v>40</v>
      </c>
      <c r="I9" t="s">
        <v>50</v>
      </c>
      <c r="J9" s="8">
        <v>720</v>
      </c>
      <c r="K9" s="5" t="s">
        <v>51</v>
      </c>
      <c r="L9" s="4" t="b">
        <v>1</v>
      </c>
      <c r="M9" t="b">
        <v>0</v>
      </c>
      <c r="N9" t="b">
        <v>1</v>
      </c>
      <c r="O9" t="s">
        <v>52</v>
      </c>
      <c r="Q9" t="s">
        <v>53</v>
      </c>
      <c r="R9" t="b">
        <v>1</v>
      </c>
      <c r="S9" t="b">
        <v>0</v>
      </c>
      <c r="T9" t="b">
        <v>1</v>
      </c>
      <c r="U9" t="b">
        <v>0</v>
      </c>
      <c r="V9" t="b">
        <v>1</v>
      </c>
      <c r="W9" t="b">
        <v>1</v>
      </c>
      <c r="X9" t="b">
        <v>1</v>
      </c>
      <c r="Y9" t="b">
        <v>1</v>
      </c>
      <c r="Z9">
        <v>2</v>
      </c>
      <c r="AA9" t="s">
        <v>56</v>
      </c>
      <c r="AB9" t="s">
        <v>55</v>
      </c>
    </row>
    <row r="10" spans="3:28" x14ac:dyDescent="0.25">
      <c r="C10" t="s">
        <v>62</v>
      </c>
      <c r="D10" t="s">
        <v>46</v>
      </c>
      <c r="E10" t="s">
        <v>13</v>
      </c>
      <c r="F10" t="s">
        <v>10</v>
      </c>
      <c r="G10" s="7">
        <v>85000</v>
      </c>
      <c r="H10">
        <v>60</v>
      </c>
      <c r="I10" t="s">
        <v>63</v>
      </c>
      <c r="J10" s="8">
        <v>120</v>
      </c>
      <c r="K10" s="5" t="s">
        <v>51</v>
      </c>
      <c r="L10" s="4" t="b">
        <v>0</v>
      </c>
      <c r="M10" t="b">
        <v>1</v>
      </c>
      <c r="N10" t="b">
        <v>1</v>
      </c>
      <c r="O10" t="s">
        <v>64</v>
      </c>
      <c r="Q10" t="s">
        <v>65</v>
      </c>
      <c r="R10" t="b">
        <v>1</v>
      </c>
      <c r="S10" t="b">
        <v>1</v>
      </c>
      <c r="T10" t="b">
        <v>0</v>
      </c>
      <c r="U10" t="b">
        <v>1</v>
      </c>
      <c r="V10" t="b">
        <v>0</v>
      </c>
      <c r="W10" t="b">
        <v>1</v>
      </c>
      <c r="X10" t="b">
        <v>1</v>
      </c>
      <c r="Y10" t="b">
        <v>0</v>
      </c>
      <c r="Z10">
        <v>3</v>
      </c>
      <c r="AA10" t="s">
        <v>54</v>
      </c>
      <c r="AB10" t="s">
        <v>55</v>
      </c>
    </row>
    <row r="11" spans="3:28" x14ac:dyDescent="0.25">
      <c r="C11" t="s">
        <v>66</v>
      </c>
      <c r="D11" t="s">
        <v>46</v>
      </c>
      <c r="E11" t="s">
        <v>13</v>
      </c>
      <c r="F11" t="s">
        <v>10</v>
      </c>
      <c r="G11" s="5">
        <v>35000</v>
      </c>
      <c r="H11">
        <v>12</v>
      </c>
      <c r="I11" t="s">
        <v>67</v>
      </c>
      <c r="J11" s="8">
        <v>125</v>
      </c>
      <c r="K11" s="5" t="s">
        <v>68</v>
      </c>
      <c r="L11" s="4" t="b">
        <v>1</v>
      </c>
      <c r="M11" t="b">
        <v>0</v>
      </c>
      <c r="N11" t="b">
        <v>1</v>
      </c>
      <c r="O11" t="s">
        <v>64</v>
      </c>
      <c r="Q11" t="s">
        <v>69</v>
      </c>
      <c r="R11" t="b">
        <v>0</v>
      </c>
      <c r="S11" t="b">
        <v>0</v>
      </c>
      <c r="T11" t="b">
        <v>1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>
        <v>4</v>
      </c>
      <c r="AA11" t="s">
        <v>54</v>
      </c>
      <c r="AB11" t="s">
        <v>55</v>
      </c>
    </row>
    <row r="12" spans="3:28" x14ac:dyDescent="0.25">
      <c r="C12" t="s">
        <v>45</v>
      </c>
      <c r="D12" t="s">
        <v>46</v>
      </c>
      <c r="E12" t="s">
        <v>13</v>
      </c>
      <c r="F12" t="s">
        <v>10</v>
      </c>
      <c r="G12" s="7">
        <v>155000</v>
      </c>
      <c r="H12">
        <v>14</v>
      </c>
      <c r="I12" t="s">
        <v>70</v>
      </c>
      <c r="J12" s="8">
        <v>15</v>
      </c>
      <c r="K12" s="5" t="s">
        <v>71</v>
      </c>
      <c r="L12" s="4" t="b">
        <v>1</v>
      </c>
      <c r="M12" t="b">
        <v>0</v>
      </c>
      <c r="N12" t="b">
        <v>1</v>
      </c>
      <c r="O12" t="s">
        <v>71</v>
      </c>
      <c r="Q12" t="s">
        <v>71</v>
      </c>
      <c r="R12" t="b">
        <v>1</v>
      </c>
      <c r="S12" t="b">
        <v>0</v>
      </c>
      <c r="T12" t="b">
        <v>1</v>
      </c>
      <c r="U12" t="b">
        <v>0</v>
      </c>
      <c r="V12" t="b">
        <v>0</v>
      </c>
      <c r="W12" t="b">
        <v>0</v>
      </c>
      <c r="X12" t="b">
        <v>1</v>
      </c>
      <c r="Y12" t="b">
        <v>1</v>
      </c>
      <c r="Z12">
        <v>5</v>
      </c>
      <c r="AA12" t="s">
        <v>54</v>
      </c>
      <c r="AB12" t="s">
        <v>55</v>
      </c>
    </row>
    <row r="13" spans="3:28" x14ac:dyDescent="0.25">
      <c r="C13" t="s">
        <v>45</v>
      </c>
      <c r="D13" t="s">
        <v>72</v>
      </c>
      <c r="E13" t="s">
        <v>13</v>
      </c>
      <c r="F13" t="s">
        <v>10</v>
      </c>
      <c r="G13" s="7">
        <v>189000</v>
      </c>
      <c r="H13">
        <v>25</v>
      </c>
      <c r="I13" t="s">
        <v>73</v>
      </c>
      <c r="J13" s="8">
        <v>124</v>
      </c>
      <c r="K13" s="5" t="s">
        <v>74</v>
      </c>
      <c r="L13" s="4" t="b">
        <v>1</v>
      </c>
      <c r="M13" t="b">
        <v>0</v>
      </c>
      <c r="N13" t="b">
        <v>1</v>
      </c>
      <c r="O13" t="s">
        <v>74</v>
      </c>
      <c r="R13" t="b">
        <v>1</v>
      </c>
      <c r="S13" t="b">
        <v>1</v>
      </c>
      <c r="T13" t="b">
        <v>0</v>
      </c>
      <c r="U13" t="b">
        <v>0</v>
      </c>
      <c r="V13" t="b">
        <v>0</v>
      </c>
      <c r="W13" t="b">
        <v>0</v>
      </c>
      <c r="X13" t="b">
        <v>1</v>
      </c>
      <c r="Y13" t="b">
        <v>1</v>
      </c>
      <c r="Z13">
        <v>0</v>
      </c>
      <c r="AA13" t="s">
        <v>54</v>
      </c>
      <c r="AB13" t="s">
        <v>55</v>
      </c>
    </row>
    <row r="14" spans="3:28" x14ac:dyDescent="0.25">
      <c r="C14" t="s">
        <v>45</v>
      </c>
      <c r="D14" t="s">
        <v>72</v>
      </c>
      <c r="E14" t="s">
        <v>14</v>
      </c>
      <c r="F14" t="s">
        <v>8</v>
      </c>
      <c r="G14" s="7">
        <v>45000</v>
      </c>
      <c r="H14">
        <v>90</v>
      </c>
      <c r="I14" t="s">
        <v>75</v>
      </c>
      <c r="J14" s="8">
        <v>900</v>
      </c>
      <c r="K14" s="5" t="s">
        <v>76</v>
      </c>
      <c r="L14" s="4" t="b">
        <v>0</v>
      </c>
      <c r="M14" t="b">
        <v>1</v>
      </c>
      <c r="N14" t="b">
        <v>1</v>
      </c>
      <c r="O14" t="s">
        <v>76</v>
      </c>
      <c r="Q14" t="s">
        <v>76</v>
      </c>
      <c r="R14" t="b">
        <v>1</v>
      </c>
      <c r="S14" t="b">
        <v>1</v>
      </c>
      <c r="T14" t="b">
        <v>0</v>
      </c>
      <c r="U14" t="b">
        <v>0</v>
      </c>
      <c r="V14" t="b">
        <v>0</v>
      </c>
      <c r="W14" t="b">
        <v>0</v>
      </c>
      <c r="X14" t="b">
        <v>1</v>
      </c>
      <c r="Y14" t="b">
        <v>1</v>
      </c>
      <c r="Z14">
        <v>0</v>
      </c>
      <c r="AA14" t="s">
        <v>54</v>
      </c>
      <c r="AB14" t="s">
        <v>55</v>
      </c>
    </row>
    <row r="15" spans="3:28" x14ac:dyDescent="0.25">
      <c r="C15" t="s">
        <v>66</v>
      </c>
      <c r="D15" t="s">
        <v>72</v>
      </c>
      <c r="E15" t="s">
        <v>12</v>
      </c>
      <c r="F15" t="s">
        <v>8</v>
      </c>
      <c r="G15" s="7">
        <v>200000</v>
      </c>
      <c r="H15">
        <v>15</v>
      </c>
      <c r="I15" t="s">
        <v>77</v>
      </c>
      <c r="J15" s="8">
        <v>15</v>
      </c>
      <c r="K15" s="5" t="s">
        <v>78</v>
      </c>
      <c r="L15" s="4" t="b">
        <v>1</v>
      </c>
      <c r="M15" t="b">
        <v>0</v>
      </c>
      <c r="N15" t="b">
        <v>1</v>
      </c>
      <c r="O15" t="s">
        <v>79</v>
      </c>
      <c r="Q15" t="s">
        <v>80</v>
      </c>
      <c r="R15" t="b">
        <v>1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1</v>
      </c>
      <c r="Y15" t="b">
        <v>0</v>
      </c>
      <c r="Z15">
        <v>0</v>
      </c>
      <c r="AA15" t="s">
        <v>54</v>
      </c>
      <c r="AB15" t="s">
        <v>55</v>
      </c>
    </row>
    <row r="16" spans="3:28" x14ac:dyDescent="0.25">
      <c r="C16" t="s">
        <v>62</v>
      </c>
      <c r="D16" t="s">
        <v>81</v>
      </c>
      <c r="E16" t="s">
        <v>13</v>
      </c>
      <c r="F16" t="s">
        <v>9</v>
      </c>
      <c r="G16" s="7">
        <v>1250000</v>
      </c>
      <c r="H16">
        <v>120</v>
      </c>
      <c r="I16" t="s">
        <v>82</v>
      </c>
      <c r="J16" s="8">
        <v>900</v>
      </c>
      <c r="K16" s="5" t="s">
        <v>83</v>
      </c>
      <c r="L16" s="4" t="b">
        <v>1</v>
      </c>
      <c r="M16" t="b">
        <v>1</v>
      </c>
      <c r="N16" t="b">
        <v>1</v>
      </c>
      <c r="O16" t="s">
        <v>84</v>
      </c>
      <c r="Q16" t="s">
        <v>85</v>
      </c>
      <c r="R16" t="b">
        <v>0</v>
      </c>
      <c r="S16" t="b">
        <v>0</v>
      </c>
      <c r="T16" t="b">
        <v>1</v>
      </c>
      <c r="U16" t="b">
        <v>0</v>
      </c>
      <c r="V16" t="b">
        <v>0</v>
      </c>
      <c r="W16" t="b">
        <v>0</v>
      </c>
      <c r="X16" t="b">
        <v>1</v>
      </c>
      <c r="Y16" t="b">
        <v>1</v>
      </c>
      <c r="Z16">
        <v>0</v>
      </c>
      <c r="AA16" t="s">
        <v>54</v>
      </c>
      <c r="AB16" t="s">
        <v>55</v>
      </c>
    </row>
  </sheetData>
  <mergeCells count="5">
    <mergeCell ref="C5:V5"/>
    <mergeCell ref="I6:J6"/>
    <mergeCell ref="R6:U6"/>
    <mergeCell ref="V6:Y6"/>
    <mergeCell ref="L6:N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U13"/>
  <sheetViews>
    <sheetView topLeftCell="E1" workbookViewId="0">
      <selection activeCell="R4" sqref="R4"/>
    </sheetView>
  </sheetViews>
  <sheetFormatPr defaultRowHeight="15" x14ac:dyDescent="0.25"/>
  <cols>
    <col min="2" max="2" width="18" bestFit="1" customWidth="1"/>
    <col min="3" max="3" width="19.5703125" customWidth="1"/>
    <col min="4" max="5" width="10.7109375" bestFit="1" customWidth="1"/>
    <col min="17" max="17" width="20.7109375" customWidth="1"/>
    <col min="18" max="18" width="19.5703125" customWidth="1"/>
    <col min="19" max="20" width="8.7109375" bestFit="1" customWidth="1"/>
    <col min="21" max="21" width="10.7109375" bestFit="1" customWidth="1"/>
  </cols>
  <sheetData>
    <row r="2" spans="2:21" x14ac:dyDescent="0.25">
      <c r="B2" s="9" t="s">
        <v>60</v>
      </c>
      <c r="C2" s="9" t="s">
        <v>59</v>
      </c>
      <c r="Q2" s="9" t="s">
        <v>61</v>
      </c>
      <c r="R2" s="9" t="s">
        <v>59</v>
      </c>
    </row>
    <row r="3" spans="2:21" x14ac:dyDescent="0.25">
      <c r="B3" s="9" t="s">
        <v>57</v>
      </c>
      <c r="C3" t="s">
        <v>55</v>
      </c>
      <c r="D3" t="s">
        <v>58</v>
      </c>
      <c r="Q3" s="9" t="s">
        <v>57</v>
      </c>
      <c r="R3" t="s">
        <v>45</v>
      </c>
      <c r="S3" t="s">
        <v>62</v>
      </c>
      <c r="T3" t="s">
        <v>66</v>
      </c>
      <c r="U3" t="s">
        <v>58</v>
      </c>
    </row>
    <row r="4" spans="2:21" x14ac:dyDescent="0.25">
      <c r="B4" s="10" t="s">
        <v>56</v>
      </c>
      <c r="C4" s="8">
        <v>1</v>
      </c>
      <c r="D4" s="8">
        <v>1</v>
      </c>
      <c r="Q4" s="10" t="s">
        <v>50</v>
      </c>
      <c r="R4" s="8">
        <v>140000</v>
      </c>
      <c r="S4" s="8"/>
      <c r="T4" s="8"/>
      <c r="U4" s="8">
        <v>140000</v>
      </c>
    </row>
    <row r="5" spans="2:21" x14ac:dyDescent="0.25">
      <c r="B5" s="10" t="s">
        <v>54</v>
      </c>
      <c r="C5" s="8">
        <v>8</v>
      </c>
      <c r="D5" s="8">
        <v>8</v>
      </c>
      <c r="Q5" s="10" t="s">
        <v>48</v>
      </c>
      <c r="R5" s="8">
        <v>10</v>
      </c>
      <c r="S5" s="8"/>
      <c r="T5" s="8"/>
      <c r="U5" s="8">
        <v>10</v>
      </c>
    </row>
    <row r="6" spans="2:21" x14ac:dyDescent="0.25">
      <c r="B6" s="10" t="s">
        <v>58</v>
      </c>
      <c r="C6" s="8">
        <v>9</v>
      </c>
      <c r="D6" s="8">
        <v>9</v>
      </c>
      <c r="Q6" s="10" t="s">
        <v>63</v>
      </c>
      <c r="R6" s="8"/>
      <c r="S6" s="8">
        <v>85000</v>
      </c>
      <c r="T6" s="8"/>
      <c r="U6" s="8">
        <v>85000</v>
      </c>
    </row>
    <row r="7" spans="2:21" x14ac:dyDescent="0.25">
      <c r="Q7" s="10" t="s">
        <v>67</v>
      </c>
      <c r="R7" s="8"/>
      <c r="S7" s="8"/>
      <c r="T7" s="8">
        <v>35000</v>
      </c>
      <c r="U7" s="8">
        <v>35000</v>
      </c>
    </row>
    <row r="8" spans="2:21" x14ac:dyDescent="0.25">
      <c r="Q8" s="10" t="s">
        <v>70</v>
      </c>
      <c r="R8" s="8">
        <v>155000</v>
      </c>
      <c r="S8" s="8"/>
      <c r="T8" s="8"/>
      <c r="U8" s="8">
        <v>155000</v>
      </c>
    </row>
    <row r="9" spans="2:21" x14ac:dyDescent="0.25">
      <c r="Q9" s="10" t="s">
        <v>73</v>
      </c>
      <c r="R9" s="8">
        <v>189000</v>
      </c>
      <c r="S9" s="8"/>
      <c r="T9" s="8"/>
      <c r="U9" s="8">
        <v>189000</v>
      </c>
    </row>
    <row r="10" spans="2:21" x14ac:dyDescent="0.25">
      <c r="Q10" s="10" t="s">
        <v>75</v>
      </c>
      <c r="R10" s="8">
        <v>45000</v>
      </c>
      <c r="S10" s="8"/>
      <c r="T10" s="8"/>
      <c r="U10" s="8">
        <v>45000</v>
      </c>
    </row>
    <row r="11" spans="2:21" x14ac:dyDescent="0.25">
      <c r="Q11" s="10" t="s">
        <v>77</v>
      </c>
      <c r="R11" s="8"/>
      <c r="S11" s="8"/>
      <c r="T11" s="8">
        <v>200000</v>
      </c>
      <c r="U11" s="8">
        <v>200000</v>
      </c>
    </row>
    <row r="12" spans="2:21" x14ac:dyDescent="0.25">
      <c r="Q12" s="10" t="s">
        <v>82</v>
      </c>
      <c r="R12" s="8"/>
      <c r="S12" s="8">
        <v>1250000</v>
      </c>
      <c r="T12" s="8"/>
      <c r="U12" s="8">
        <v>1250000</v>
      </c>
    </row>
    <row r="13" spans="2:21" x14ac:dyDescent="0.25">
      <c r="Q13" s="10" t="s">
        <v>58</v>
      </c>
      <c r="R13" s="8">
        <v>529010</v>
      </c>
      <c r="S13" s="8">
        <v>1335000</v>
      </c>
      <c r="T13" s="8">
        <v>235000</v>
      </c>
      <c r="U13" s="8">
        <v>2099010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5"/>
  <sheetViews>
    <sheetView workbookViewId="0">
      <selection activeCell="I4" sqref="I4"/>
    </sheetView>
  </sheetViews>
  <sheetFormatPr defaultRowHeight="15" x14ac:dyDescent="0.25"/>
  <cols>
    <col min="1" max="1" width="11.140625" bestFit="1" customWidth="1"/>
    <col min="3" max="3" width="12.28515625" customWidth="1"/>
    <col min="5" max="5" width="16" customWidth="1"/>
    <col min="7" max="7" width="22" customWidth="1"/>
    <col min="9" max="9" width="15.28515625" customWidth="1"/>
  </cols>
  <sheetData>
    <row r="1" spans="1:9" x14ac:dyDescent="0.25">
      <c r="A1" t="s">
        <v>7</v>
      </c>
      <c r="C1" t="s">
        <v>11</v>
      </c>
      <c r="E1" s="2" t="s">
        <v>2</v>
      </c>
      <c r="G1" t="s">
        <v>18</v>
      </c>
      <c r="I1" t="s">
        <v>23</v>
      </c>
    </row>
    <row r="2" spans="1:9" x14ac:dyDescent="0.25">
      <c r="A2" t="s">
        <v>8</v>
      </c>
      <c r="C2" t="s">
        <v>12</v>
      </c>
      <c r="E2" s="2" t="s">
        <v>15</v>
      </c>
      <c r="G2" t="s">
        <v>19</v>
      </c>
      <c r="I2" t="s">
        <v>19</v>
      </c>
    </row>
    <row r="3" spans="1:9" x14ac:dyDescent="0.25">
      <c r="A3" t="s">
        <v>9</v>
      </c>
      <c r="C3" t="s">
        <v>13</v>
      </c>
      <c r="E3" s="2" t="s">
        <v>16</v>
      </c>
      <c r="G3" t="s">
        <v>20</v>
      </c>
      <c r="I3" t="s">
        <v>20</v>
      </c>
    </row>
    <row r="4" spans="1:9" x14ac:dyDescent="0.25">
      <c r="A4" t="s">
        <v>10</v>
      </c>
      <c r="C4" t="s">
        <v>14</v>
      </c>
      <c r="E4" s="2" t="s">
        <v>17</v>
      </c>
      <c r="G4" t="s">
        <v>21</v>
      </c>
      <c r="I4" t="s">
        <v>24</v>
      </c>
    </row>
    <row r="5" spans="1:9" x14ac:dyDescent="0.25">
      <c r="G5" t="s">
        <v>22</v>
      </c>
      <c r="I5" t="s">
        <v>25</v>
      </c>
    </row>
  </sheetData>
  <pageMargins left="0.511811024" right="0.511811024" top="0.78740157499999996" bottom="0.78740157499999996" header="0.31496062000000002" footer="0.31496062000000002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Dados</vt:lpstr>
      <vt:lpstr>apoio_tables</vt:lpstr>
      <vt:lpstr>Apoio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Guilherme De Castro Chicherchio</dc:creator>
  <cp:lastModifiedBy>Paulo Guilherme De Castro Chicherchio</cp:lastModifiedBy>
  <dcterms:created xsi:type="dcterms:W3CDTF">2019-10-08T15:29:53Z</dcterms:created>
  <dcterms:modified xsi:type="dcterms:W3CDTF">2020-01-06T17:02:37Z</dcterms:modified>
</cp:coreProperties>
</file>