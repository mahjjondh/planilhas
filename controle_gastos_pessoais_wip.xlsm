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Build_Games\"/>
    </mc:Choice>
  </mc:AlternateContent>
  <xr:revisionPtr revIDLastSave="0" documentId="13_ncr:1_{5E9DA97D-A7DE-460A-A836-46F89DD7D68D}" xr6:coauthVersionLast="46" xr6:coauthVersionMax="46" xr10:uidLastSave="{00000000-0000-0000-0000-000000000000}"/>
  <bookViews>
    <workbookView xWindow="-120" yWindow="-120" windowWidth="21840" windowHeight="13740" activeTab="1" xr2:uid="{C9955DA9-7A5A-4A04-936C-DFABC21643E6}"/>
  </bookViews>
  <sheets>
    <sheet name="DashBoard" sheetId="1" r:id="rId1"/>
    <sheet name="Sintetico" sheetId="9" r:id="rId2"/>
    <sheet name="Dados" sheetId="3" r:id="rId3"/>
    <sheet name="Preços" sheetId="7" r:id="rId4"/>
    <sheet name="Analises" sheetId="5" r:id="rId5"/>
    <sheet name="Components" sheetId="6" r:id="rId6"/>
    <sheet name="Design" sheetId="2" r:id="rId7"/>
    <sheet name="Testes" sheetId="8" r:id="rId8"/>
    <sheet name="Perguntas" sheetId="4" r:id="rId9"/>
  </sheets>
  <calcPr calcId="191029"/>
  <pivotCaches>
    <pivotCache cacheId="3" r:id="rId10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7" i="9" l="1"/>
  <c r="D37" i="9"/>
  <c r="E37" i="9"/>
  <c r="F37" i="9"/>
  <c r="G37" i="9"/>
  <c r="H37" i="9"/>
  <c r="I37" i="9"/>
  <c r="J37" i="9"/>
  <c r="K37" i="9"/>
  <c r="L37" i="9"/>
  <c r="M37" i="9"/>
  <c r="C36" i="9"/>
  <c r="D36" i="9"/>
  <c r="E36" i="9"/>
  <c r="F36" i="9"/>
  <c r="G36" i="9"/>
  <c r="H36" i="9"/>
  <c r="I36" i="9"/>
  <c r="J36" i="9"/>
  <c r="K36" i="9"/>
  <c r="L36" i="9"/>
  <c r="M36" i="9"/>
  <c r="C35" i="9"/>
  <c r="D35" i="9"/>
  <c r="E35" i="9"/>
  <c r="F35" i="9"/>
  <c r="G35" i="9"/>
  <c r="H35" i="9"/>
  <c r="I35" i="9"/>
  <c r="J35" i="9"/>
  <c r="K35" i="9"/>
  <c r="L35" i="9"/>
  <c r="M35" i="9"/>
  <c r="C34" i="9"/>
  <c r="D34" i="9"/>
  <c r="E34" i="9"/>
  <c r="F34" i="9"/>
  <c r="G34" i="9"/>
  <c r="H34" i="9"/>
  <c r="I34" i="9"/>
  <c r="J34" i="9"/>
  <c r="K34" i="9"/>
  <c r="L34" i="9"/>
  <c r="M34" i="9"/>
  <c r="B35" i="9"/>
  <c r="B36" i="9"/>
  <c r="B37" i="9"/>
  <c r="B34" i="9"/>
  <c r="C31" i="9"/>
  <c r="D31" i="9"/>
  <c r="E31" i="9"/>
  <c r="F31" i="9"/>
  <c r="G31" i="9"/>
  <c r="H31" i="9"/>
  <c r="I31" i="9"/>
  <c r="J31" i="9"/>
  <c r="K31" i="9"/>
  <c r="L31" i="9"/>
  <c r="M31" i="9"/>
  <c r="C30" i="9"/>
  <c r="D30" i="9"/>
  <c r="E30" i="9"/>
  <c r="F30" i="9"/>
  <c r="G30" i="9"/>
  <c r="H30" i="9"/>
  <c r="I30" i="9"/>
  <c r="J30" i="9"/>
  <c r="K30" i="9"/>
  <c r="L30" i="9"/>
  <c r="M30" i="9"/>
  <c r="C29" i="9"/>
  <c r="D29" i="9"/>
  <c r="E29" i="9"/>
  <c r="F29" i="9"/>
  <c r="G29" i="9"/>
  <c r="H29" i="9"/>
  <c r="I29" i="9"/>
  <c r="J29" i="9"/>
  <c r="K29" i="9"/>
  <c r="L29" i="9"/>
  <c r="M29" i="9"/>
  <c r="C28" i="9"/>
  <c r="D28" i="9"/>
  <c r="E28" i="9"/>
  <c r="F28" i="9"/>
  <c r="G28" i="9"/>
  <c r="H28" i="9"/>
  <c r="I28" i="9"/>
  <c r="J28" i="9"/>
  <c r="K28" i="9"/>
  <c r="L28" i="9"/>
  <c r="M28" i="9"/>
  <c r="C27" i="9"/>
  <c r="D27" i="9"/>
  <c r="E27" i="9"/>
  <c r="F27" i="9"/>
  <c r="G27" i="9"/>
  <c r="H27" i="9"/>
  <c r="I27" i="9"/>
  <c r="J27" i="9"/>
  <c r="K27" i="9"/>
  <c r="L27" i="9"/>
  <c r="M27" i="9"/>
  <c r="C26" i="9"/>
  <c r="D26" i="9"/>
  <c r="E26" i="9"/>
  <c r="F26" i="9"/>
  <c r="G26" i="9"/>
  <c r="H26" i="9"/>
  <c r="I26" i="9"/>
  <c r="J26" i="9"/>
  <c r="K26" i="9"/>
  <c r="L26" i="9"/>
  <c r="M26" i="9"/>
  <c r="C25" i="9"/>
  <c r="D25" i="9"/>
  <c r="E25" i="9"/>
  <c r="F25" i="9"/>
  <c r="G25" i="9"/>
  <c r="H25" i="9"/>
  <c r="I25" i="9"/>
  <c r="J25" i="9"/>
  <c r="K25" i="9"/>
  <c r="L25" i="9"/>
  <c r="M25" i="9"/>
  <c r="B25" i="9"/>
  <c r="B26" i="9"/>
  <c r="B27" i="9"/>
  <c r="B28" i="9"/>
  <c r="B29" i="9"/>
  <c r="B30" i="9"/>
  <c r="B31" i="9"/>
  <c r="C24" i="9"/>
  <c r="D24" i="9"/>
  <c r="E24" i="9"/>
  <c r="F24" i="9"/>
  <c r="G24" i="9"/>
  <c r="H24" i="9"/>
  <c r="I24" i="9"/>
  <c r="J24" i="9"/>
  <c r="K24" i="9"/>
  <c r="L24" i="9"/>
  <c r="M24" i="9"/>
  <c r="B24" i="9"/>
  <c r="C19" i="9"/>
  <c r="D19" i="9"/>
  <c r="E19" i="9"/>
  <c r="F19" i="9"/>
  <c r="G19" i="9"/>
  <c r="H19" i="9"/>
  <c r="I19" i="9"/>
  <c r="J19" i="9"/>
  <c r="K19" i="9"/>
  <c r="L19" i="9"/>
  <c r="M19" i="9"/>
  <c r="B19" i="9"/>
  <c r="C18" i="9"/>
  <c r="D18" i="9"/>
  <c r="E18" i="9"/>
  <c r="F18" i="9"/>
  <c r="G18" i="9"/>
  <c r="H18" i="9"/>
  <c r="I18" i="9"/>
  <c r="J18" i="9"/>
  <c r="K18" i="9"/>
  <c r="L18" i="9"/>
  <c r="M18" i="9"/>
  <c r="B18" i="9"/>
  <c r="C17" i="9"/>
  <c r="D17" i="9"/>
  <c r="E17" i="9"/>
  <c r="F17" i="9"/>
  <c r="G17" i="9"/>
  <c r="H17" i="9"/>
  <c r="I17" i="9"/>
  <c r="J17" i="9"/>
  <c r="K17" i="9"/>
  <c r="L17" i="9"/>
  <c r="M17" i="9"/>
  <c r="B17" i="9"/>
  <c r="C16" i="9"/>
  <c r="D16" i="9"/>
  <c r="E16" i="9"/>
  <c r="F16" i="9"/>
  <c r="G16" i="9"/>
  <c r="H16" i="9"/>
  <c r="I16" i="9"/>
  <c r="J16" i="9"/>
  <c r="K16" i="9"/>
  <c r="L16" i="9"/>
  <c r="M16" i="9"/>
  <c r="B16" i="9"/>
  <c r="C15" i="9"/>
  <c r="D15" i="9"/>
  <c r="E15" i="9"/>
  <c r="F15" i="9"/>
  <c r="G15" i="9"/>
  <c r="H15" i="9"/>
  <c r="I15" i="9"/>
  <c r="J15" i="9"/>
  <c r="K15" i="9"/>
  <c r="L15" i="9"/>
  <c r="M15" i="9"/>
  <c r="B15" i="9"/>
  <c r="C13" i="9"/>
  <c r="D13" i="9"/>
  <c r="E13" i="9"/>
  <c r="F13" i="9"/>
  <c r="G13" i="9"/>
  <c r="H13" i="9"/>
  <c r="I13" i="9"/>
  <c r="J13" i="9"/>
  <c r="K13" i="9"/>
  <c r="L13" i="9"/>
  <c r="M13" i="9"/>
  <c r="B13" i="9"/>
  <c r="C14" i="9"/>
  <c r="D14" i="9"/>
  <c r="E14" i="9"/>
  <c r="F14" i="9"/>
  <c r="G14" i="9"/>
  <c r="H14" i="9"/>
  <c r="I14" i="9"/>
  <c r="J14" i="9"/>
  <c r="K14" i="9"/>
  <c r="L14" i="9"/>
  <c r="M14" i="9"/>
  <c r="B14" i="9"/>
  <c r="C12" i="9"/>
  <c r="C11" i="9" s="1"/>
  <c r="D12" i="9"/>
  <c r="D11" i="9" s="1"/>
  <c r="E12" i="9"/>
  <c r="F12" i="9"/>
  <c r="G12" i="9"/>
  <c r="G11" i="9" s="1"/>
  <c r="H12" i="9"/>
  <c r="I12" i="9"/>
  <c r="I11" i="9" s="1"/>
  <c r="J12" i="9"/>
  <c r="J11" i="9" s="1"/>
  <c r="K12" i="9"/>
  <c r="L12" i="9"/>
  <c r="L11" i="9" s="1"/>
  <c r="M12" i="9"/>
  <c r="M11" i="9" s="1"/>
  <c r="B12" i="9"/>
  <c r="B11" i="9" s="1"/>
  <c r="C8" i="9"/>
  <c r="D8" i="9"/>
  <c r="E8" i="9"/>
  <c r="F8" i="9"/>
  <c r="G8" i="9"/>
  <c r="H8" i="9"/>
  <c r="I8" i="9"/>
  <c r="J8" i="9"/>
  <c r="K8" i="9"/>
  <c r="L8" i="9"/>
  <c r="M8" i="9"/>
  <c r="B8" i="9"/>
  <c r="C7" i="9"/>
  <c r="D7" i="9"/>
  <c r="E7" i="9"/>
  <c r="F7" i="9"/>
  <c r="G7" i="9"/>
  <c r="H7" i="9"/>
  <c r="I7" i="9"/>
  <c r="J7" i="9"/>
  <c r="K7" i="9"/>
  <c r="L7" i="9"/>
  <c r="M7" i="9"/>
  <c r="B7" i="9"/>
  <c r="C6" i="9"/>
  <c r="D6" i="9"/>
  <c r="E6" i="9"/>
  <c r="F6" i="9"/>
  <c r="G6" i="9"/>
  <c r="H6" i="9"/>
  <c r="I6" i="9"/>
  <c r="J6" i="9"/>
  <c r="K6" i="9"/>
  <c r="L6" i="9"/>
  <c r="M6" i="9"/>
  <c r="B6" i="9"/>
  <c r="C5" i="9"/>
  <c r="D5" i="9"/>
  <c r="D4" i="9" s="1"/>
  <c r="E5" i="9"/>
  <c r="F5" i="9"/>
  <c r="G5" i="9"/>
  <c r="G4" i="9" s="1"/>
  <c r="H5" i="9"/>
  <c r="I5" i="9"/>
  <c r="J5" i="9"/>
  <c r="K5" i="9"/>
  <c r="K4" i="9" s="1"/>
  <c r="L5" i="9"/>
  <c r="M5" i="9"/>
  <c r="B5" i="9"/>
  <c r="B9" i="9"/>
  <c r="G9" i="9"/>
  <c r="H9" i="9"/>
  <c r="I9" i="9"/>
  <c r="J9" i="9"/>
  <c r="K9" i="9"/>
  <c r="L9" i="9"/>
  <c r="M9" i="9"/>
  <c r="C9" i="9"/>
  <c r="D9" i="9"/>
  <c r="E9" i="9"/>
  <c r="F9" i="9"/>
  <c r="F11" i="9" l="1"/>
  <c r="B49" i="9" s="1"/>
  <c r="H4" i="9"/>
  <c r="H41" i="9" s="1"/>
  <c r="H11" i="9"/>
  <c r="K11" i="9"/>
  <c r="C4" i="9"/>
  <c r="E11" i="9"/>
  <c r="E4" i="9"/>
  <c r="I4" i="9"/>
  <c r="I41" i="9" s="1"/>
  <c r="M4" i="9"/>
  <c r="M41" i="9" s="1"/>
  <c r="L4" i="9"/>
  <c r="L41" i="9" s="1"/>
  <c r="F4" i="9"/>
  <c r="J4" i="9"/>
  <c r="J41" i="9" s="1"/>
  <c r="B4" i="9"/>
  <c r="B41" i="9" s="1"/>
  <c r="C33" i="9"/>
  <c r="D33" i="9"/>
  <c r="E33" i="9"/>
  <c r="F33" i="9"/>
  <c r="B51" i="9" s="1"/>
  <c r="G33" i="9"/>
  <c r="H33" i="9"/>
  <c r="I33" i="9"/>
  <c r="J33" i="9"/>
  <c r="K33" i="9"/>
  <c r="L33" i="9"/>
  <c r="M33" i="9"/>
  <c r="B33" i="9"/>
  <c r="C23" i="9"/>
  <c r="D23" i="9"/>
  <c r="E23" i="9"/>
  <c r="F23" i="9"/>
  <c r="B50" i="9" s="1"/>
  <c r="G23" i="9"/>
  <c r="H23" i="9"/>
  <c r="I23" i="9"/>
  <c r="J23" i="9"/>
  <c r="K23" i="9"/>
  <c r="L23" i="9"/>
  <c r="M23" i="9"/>
  <c r="B23" i="9"/>
  <c r="C41" i="9"/>
  <c r="D41" i="9"/>
  <c r="G41" i="9"/>
  <c r="K41" i="9"/>
  <c r="N35" i="9"/>
  <c r="N36" i="9"/>
  <c r="N37" i="9"/>
  <c r="N34" i="9"/>
  <c r="N25" i="9"/>
  <c r="N26" i="9"/>
  <c r="N27" i="9"/>
  <c r="N28" i="9"/>
  <c r="N29" i="9"/>
  <c r="N30" i="9"/>
  <c r="N31" i="9"/>
  <c r="N24" i="9"/>
  <c r="N13" i="9"/>
  <c r="N14" i="9"/>
  <c r="N15" i="9"/>
  <c r="N16" i="9"/>
  <c r="N17" i="9"/>
  <c r="N18" i="9"/>
  <c r="N19" i="9"/>
  <c r="N12" i="9"/>
  <c r="N6" i="9"/>
  <c r="N7" i="9"/>
  <c r="N8" i="9"/>
  <c r="N9" i="9"/>
  <c r="N5" i="9"/>
  <c r="C21" i="9"/>
  <c r="D21" i="9"/>
  <c r="E21" i="9"/>
  <c r="F21" i="9"/>
  <c r="G21" i="9"/>
  <c r="H21" i="9"/>
  <c r="I21" i="9"/>
  <c r="J21" i="9"/>
  <c r="K21" i="9"/>
  <c r="L21" i="9"/>
  <c r="M21" i="9"/>
  <c r="B21" i="9"/>
  <c r="B22" i="9" s="1"/>
  <c r="E41" i="9"/>
  <c r="C4" i="8"/>
  <c r="F41" i="9" l="1"/>
  <c r="B54" i="9" s="1"/>
  <c r="B48" i="9"/>
  <c r="J42" i="9"/>
  <c r="J43" i="9" s="1"/>
  <c r="H42" i="9"/>
  <c r="H43" i="9" s="1"/>
  <c r="M42" i="9"/>
  <c r="M43" i="9" s="1"/>
  <c r="L42" i="9"/>
  <c r="L43" i="9" s="1"/>
  <c r="D42" i="9"/>
  <c r="D43" i="9" s="1"/>
  <c r="I42" i="9"/>
  <c r="I43" i="9" s="1"/>
  <c r="K42" i="9"/>
  <c r="K43" i="9" s="1"/>
  <c r="G42" i="9"/>
  <c r="G43" i="9" s="1"/>
  <c r="E42" i="9"/>
  <c r="E43" i="9" s="1"/>
  <c r="N11" i="9"/>
  <c r="C42" i="9"/>
  <c r="C43" i="9" s="1"/>
  <c r="B42" i="9"/>
  <c r="B43" i="9" s="1"/>
  <c r="B44" i="9" s="1"/>
  <c r="C22" i="9"/>
  <c r="D22" i="9" s="1"/>
  <c r="E22" i="9" s="1"/>
  <c r="F22" i="9" s="1"/>
  <c r="G22" i="9" s="1"/>
  <c r="H22" i="9" s="1"/>
  <c r="I22" i="9" s="1"/>
  <c r="J22" i="9" s="1"/>
  <c r="K22" i="9" s="1"/>
  <c r="L22" i="9" s="1"/>
  <c r="M22" i="9" s="1"/>
  <c r="N22" i="9" s="1"/>
  <c r="N4" i="9"/>
  <c r="F42" i="9"/>
  <c r="N21" i="9"/>
  <c r="N33" i="9"/>
  <c r="N23" i="9"/>
  <c r="N41" i="9"/>
  <c r="F43" i="9" l="1"/>
  <c r="B55" i="9"/>
  <c r="C44" i="9"/>
  <c r="D44" i="9" s="1"/>
  <c r="E44" i="9" s="1"/>
  <c r="N42" i="9"/>
  <c r="N43" i="9"/>
  <c r="F44" i="9" l="1"/>
  <c r="G44" i="9" s="1"/>
  <c r="H44" i="9" s="1"/>
  <c r="I44" i="9" s="1"/>
  <c r="J44" i="9" s="1"/>
  <c r="K44" i="9" s="1"/>
  <c r="L44" i="9" s="1"/>
  <c r="M44" i="9" s="1"/>
  <c r="N44" i="9" s="1"/>
  <c r="B56" i="9"/>
</calcChain>
</file>

<file path=xl/sharedStrings.xml><?xml version="1.0" encoding="utf-8"?>
<sst xmlns="http://schemas.openxmlformats.org/spreadsheetml/2006/main" count="105" uniqueCount="67">
  <si>
    <t>Perguntas - Planilha Gastos Mensais</t>
  </si>
  <si>
    <t>Total Recebido?</t>
  </si>
  <si>
    <t>Total Gasto?</t>
  </si>
  <si>
    <t>Contas Previstas?</t>
  </si>
  <si>
    <t>Valor Vale Alimentação?</t>
  </si>
  <si>
    <t>Valor Salario?</t>
  </si>
  <si>
    <t>Valor Gasto Vale Alimentação?</t>
  </si>
  <si>
    <t>Valor Gasto Salario?</t>
  </si>
  <si>
    <t>Gastos Mensais?</t>
  </si>
  <si>
    <t>Recebido Mensal?</t>
  </si>
  <si>
    <t>Paleta de Cores</t>
  </si>
  <si>
    <t>Tabela de Entradas e Saidas (Gastos e Recebidos)</t>
  </si>
  <si>
    <t>Nome</t>
  </si>
  <si>
    <t>Tipo</t>
  </si>
  <si>
    <t>Previsto</t>
  </si>
  <si>
    <t>Valor</t>
  </si>
  <si>
    <t>Mês</t>
  </si>
  <si>
    <t>Data</t>
  </si>
  <si>
    <t>Tipo Despesa</t>
  </si>
  <si>
    <t>Saldo</t>
  </si>
  <si>
    <t>Vale Alimentaçõa</t>
  </si>
  <si>
    <t>Rótulos de Linha</t>
  </si>
  <si>
    <t>Total Geral</t>
  </si>
  <si>
    <t>Média de Valor</t>
  </si>
  <si>
    <t>Mín. de Saldo</t>
  </si>
  <si>
    <t>Habitação</t>
  </si>
  <si>
    <t>Renda Familiar</t>
  </si>
  <si>
    <t>férias</t>
  </si>
  <si>
    <t>13 salario</t>
  </si>
  <si>
    <t>salarios</t>
  </si>
  <si>
    <t>Total</t>
  </si>
  <si>
    <t>luz</t>
  </si>
  <si>
    <t>agua</t>
  </si>
  <si>
    <t>internet</t>
  </si>
  <si>
    <t>iptu</t>
  </si>
  <si>
    <t>cursos</t>
  </si>
  <si>
    <t>academicos</t>
  </si>
  <si>
    <t>outros renda</t>
  </si>
  <si>
    <t>outros habitacao</t>
  </si>
  <si>
    <t>outros educação</t>
  </si>
  <si>
    <t>supermercado</t>
  </si>
  <si>
    <t>gas</t>
  </si>
  <si>
    <t>reformas/consertos</t>
  </si>
  <si>
    <t>Despesas Pessoais</t>
  </si>
  <si>
    <t>higiene pessoal</t>
  </si>
  <si>
    <t>cabeleleiro</t>
  </si>
  <si>
    <t>telefone celular</t>
  </si>
  <si>
    <t>vestuario</t>
  </si>
  <si>
    <t>livraria</t>
  </si>
  <si>
    <t>restaurantes</t>
  </si>
  <si>
    <t>passeios</t>
  </si>
  <si>
    <t>outros laser</t>
  </si>
  <si>
    <t>outros pessoais</t>
  </si>
  <si>
    <t>vale alimentacao</t>
  </si>
  <si>
    <t>subtotal mercado</t>
  </si>
  <si>
    <t>Tipos</t>
  </si>
  <si>
    <t>Rendimentos</t>
  </si>
  <si>
    <t>Gastos</t>
  </si>
  <si>
    <t>Saldo do Mês</t>
  </si>
  <si>
    <t>Acumulado</t>
  </si>
  <si>
    <t>Resumo Grafico</t>
  </si>
  <si>
    <t>Renda</t>
  </si>
  <si>
    <t>Pessoais</t>
  </si>
  <si>
    <t>acumulado vale</t>
  </si>
  <si>
    <t>Resumo Total</t>
  </si>
  <si>
    <t>Sintético - Gastos / Receitas</t>
  </si>
  <si>
    <t>Lazer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</si>
</sst>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663300"/>
      <name val="Calibri"/>
      <family val="2"/>
      <scheme val="minor"/>
    </font>
    <font>
      <sz val="22"/>
      <color theme="1"/>
      <name val="Calibri"/>
      <family val="2"/>
      <scheme val="minor"/>
    </font>
    <font>
      <sz val="22"/>
      <color rgb="FFFF00FF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1"/>
      <color rgb="FF663300"/>
      <name val="Calibri"/>
      <family val="2"/>
      <scheme val="minor"/>
    </font>
    <font>
      <b/>
      <sz val="11"/>
      <color rgb="FF33CC33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1"/>
      <color rgb="FF0070C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5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3366FF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52">
    <xf numFmtId="0" fontId="0" fillId="0" borderId="0" xfId="0"/>
    <xf numFmtId="0" fontId="0" fillId="7" borderId="0" xfId="0" applyFill="1"/>
    <xf numFmtId="0" fontId="0" fillId="0" borderId="0" xfId="0" applyAlignment="1">
      <alignment horizontal="center" vertical="center"/>
    </xf>
    <xf numFmtId="164" fontId="0" fillId="0" borderId="0" xfId="0" applyNumberFormat="1"/>
    <xf numFmtId="44" fontId="0" fillId="0" borderId="0" xfId="1" applyFont="1"/>
    <xf numFmtId="14" fontId="0" fillId="0" borderId="0" xfId="0" applyNumberFormat="1"/>
    <xf numFmtId="44" fontId="0" fillId="0" borderId="0" xfId="0" applyNumberFormat="1"/>
    <xf numFmtId="0" fontId="0" fillId="0" borderId="0" xfId="0" pivotButton="1"/>
    <xf numFmtId="14" fontId="0" fillId="0" borderId="0" xfId="0" applyNumberFormat="1" applyAlignment="1">
      <alignment horizontal="left"/>
    </xf>
    <xf numFmtId="0" fontId="0" fillId="0" borderId="0" xfId="0" applyNumberFormat="1"/>
    <xf numFmtId="0" fontId="4" fillId="0" borderId="0" xfId="0" applyFont="1"/>
    <xf numFmtId="0" fontId="6" fillId="0" borderId="0" xfId="0" applyFont="1"/>
    <xf numFmtId="0" fontId="7" fillId="8" borderId="0" xfId="0" applyFont="1" applyFill="1"/>
    <xf numFmtId="0" fontId="7" fillId="9" borderId="0" xfId="0" applyFont="1" applyFill="1"/>
    <xf numFmtId="0" fontId="0" fillId="0" borderId="1" xfId="0" applyBorder="1"/>
    <xf numFmtId="0" fontId="7" fillId="10" borderId="0" xfId="0" applyFont="1" applyFill="1"/>
    <xf numFmtId="0" fontId="2" fillId="10" borderId="0" xfId="0" applyFont="1" applyFill="1"/>
    <xf numFmtId="0" fontId="8" fillId="0" borderId="0" xfId="0" applyFont="1"/>
    <xf numFmtId="0" fontId="9" fillId="0" borderId="0" xfId="0" applyFont="1"/>
    <xf numFmtId="0" fontId="10" fillId="0" borderId="0" xfId="0" applyFont="1"/>
    <xf numFmtId="0" fontId="11" fillId="0" borderId="0" xfId="0" applyFont="1"/>
    <xf numFmtId="0" fontId="11" fillId="10" borderId="0" xfId="0" applyFont="1" applyFill="1"/>
    <xf numFmtId="0" fontId="2" fillId="14" borderId="0" xfId="0" applyFont="1" applyFill="1"/>
    <xf numFmtId="17" fontId="2" fillId="14" borderId="0" xfId="0" applyNumberFormat="1" applyFont="1" applyFill="1"/>
    <xf numFmtId="0" fontId="2" fillId="14" borderId="0" xfId="0" applyFont="1" applyFill="1" applyAlignment="1">
      <alignment horizontal="center" vertical="center"/>
    </xf>
    <xf numFmtId="44" fontId="7" fillId="8" borderId="0" xfId="1" applyFont="1" applyFill="1"/>
    <xf numFmtId="44" fontId="0" fillId="13" borderId="0" xfId="1" applyFont="1" applyFill="1"/>
    <xf numFmtId="44" fontId="0" fillId="12" borderId="0" xfId="1" applyFont="1" applyFill="1"/>
    <xf numFmtId="44" fontId="0" fillId="8" borderId="0" xfId="1" applyFont="1" applyFill="1"/>
    <xf numFmtId="44" fontId="0" fillId="9" borderId="0" xfId="1" applyFont="1" applyFill="1"/>
    <xf numFmtId="44" fontId="0" fillId="10" borderId="0" xfId="1" applyFont="1" applyFill="1"/>
    <xf numFmtId="44" fontId="0" fillId="11" borderId="0" xfId="1" applyFont="1" applyFill="1"/>
    <xf numFmtId="44" fontId="0" fillId="0" borderId="1" xfId="0" applyNumberFormat="1" applyBorder="1"/>
    <xf numFmtId="0" fontId="5" fillId="0" borderId="0" xfId="0" applyFont="1" applyAlignment="1"/>
    <xf numFmtId="17" fontId="0" fillId="0" borderId="0" xfId="0" applyNumberFormat="1" applyAlignment="1">
      <alignment horizontal="center" vertical="center"/>
    </xf>
    <xf numFmtId="2" fontId="0" fillId="7" borderId="0" xfId="0" applyNumberFormat="1" applyFill="1"/>
    <xf numFmtId="2" fontId="0" fillId="0" borderId="0" xfId="0" applyNumberFormat="1" applyAlignment="1">
      <alignment horizontal="center" vertical="center"/>
    </xf>
    <xf numFmtId="2" fontId="0" fillId="0" borderId="0" xfId="1" applyNumberFormat="1" applyFont="1"/>
    <xf numFmtId="2" fontId="0" fillId="0" borderId="0" xfId="0" applyNumberFormat="1"/>
    <xf numFmtId="0" fontId="0" fillId="15" borderId="0" xfId="0" applyFill="1"/>
    <xf numFmtId="0" fontId="0" fillId="0" borderId="1" xfId="0" applyBorder="1" applyAlignment="1">
      <alignment horizontal="center"/>
    </xf>
    <xf numFmtId="0" fontId="5" fillId="0" borderId="0" xfId="0" applyFont="1" applyAlignment="1">
      <alignment horizontal="center"/>
    </xf>
    <xf numFmtId="0" fontId="0" fillId="7" borderId="0" xfId="0" applyFill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7" fillId="9" borderId="1" xfId="0" applyFon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0" fillId="0" borderId="1" xfId="0" applyBorder="1"/>
  </cellXfs>
  <cellStyles count="2">
    <cellStyle name="Moeda" xfId="1" builtinId="4"/>
    <cellStyle name="Normal" xfId="0" builtinId="0"/>
  </cellStyles>
  <dxfs count="7">
    <dxf>
      <numFmt numFmtId="164" formatCode="_-[$R$-416]\ * #,##0.00_-;\-[$R$-416]\ * #,##0.00_-;_-[$R$-416]\ * &quot;-&quot;??_-;_-@_-"/>
    </dxf>
    <dxf>
      <numFmt numFmtId="19" formatCode="dd/mm/yyyy"/>
    </dxf>
    <dxf>
      <numFmt numFmtId="2" formatCode="0.00"/>
    </dxf>
    <dxf>
      <numFmt numFmtId="2" formatCode="0.00"/>
    </dxf>
    <dxf>
      <numFmt numFmtId="0" formatCode="General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33CCCC"/>
      <color rgb="FF33CC33"/>
      <color rgb="FF663300"/>
      <color rgb="FFFF5050"/>
      <color rgb="FFFF00FF"/>
      <color rgb="FF3366FF"/>
      <color rgb="FFFFFF00"/>
      <color rgb="FFCCCC00"/>
      <color rgb="FF003366"/>
      <color rgb="FF66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[controle_gastos_pessoais_wip.xlsm]Testes!Tabela dinâmica7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Gastos Vs</a:t>
            </a:r>
            <a:r>
              <a:rPr lang="pt-BR" baseline="0"/>
              <a:t> Despesas </a:t>
            </a:r>
          </a:p>
          <a:p>
            <a:pPr>
              <a:defRPr/>
            </a:pPr>
            <a:r>
              <a:rPr lang="pt-BR" baseline="0"/>
              <a:t>Mensal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ln w="28575" cap="rnd">
            <a:solidFill>
              <a:srgbClr val="33CC33"/>
            </a:solidFill>
            <a:round/>
          </a:ln>
          <a:effectLst/>
        </c:spPr>
        <c:marker>
          <c:symbol val="circle"/>
          <c:size val="5"/>
          <c:spPr>
            <a:solidFill>
              <a:srgbClr val="33CC33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FF5050"/>
            </a:solidFill>
            <a:round/>
          </a:ln>
          <a:effectLst/>
        </c:spPr>
        <c:marker>
          <c:symbol val="circle"/>
          <c:size val="5"/>
          <c:spPr>
            <a:solidFill>
              <a:srgbClr val="FF505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rgbClr val="33CC33"/>
            </a:solidFill>
            <a:round/>
          </a:ln>
          <a:effectLst/>
        </c:spPr>
        <c:marker>
          <c:symbol val="circle"/>
          <c:size val="5"/>
          <c:spPr>
            <a:solidFill>
              <a:srgbClr val="33CC33"/>
            </a:solidFill>
            <a:ln w="9525">
              <a:solidFill>
                <a:srgbClr val="33CC33"/>
              </a:solidFill>
            </a:ln>
            <a:effectLst/>
          </c:spPr>
        </c:marker>
      </c:pivotFmt>
      <c:pivotFmt>
        <c:idx val="3"/>
        <c:spPr>
          <a:ln w="28575" cap="rnd">
            <a:solidFill>
              <a:srgbClr val="33CC33"/>
            </a:solidFill>
            <a:round/>
          </a:ln>
          <a:effectLst/>
        </c:spPr>
        <c:marker>
          <c:symbol val="circle"/>
          <c:size val="5"/>
          <c:spPr>
            <a:solidFill>
              <a:srgbClr val="33CC33"/>
            </a:solidFill>
            <a:ln w="9525">
              <a:solidFill>
                <a:srgbClr val="33CC33"/>
              </a:solidFill>
            </a:ln>
            <a:effectLst/>
          </c:spPr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Testes!$F$2</c:f>
              <c:strCache>
                <c:ptCount val="1"/>
                <c:pt idx="0">
                  <c:v>Mín. de Saldo</c:v>
                </c:pt>
              </c:strCache>
            </c:strRef>
          </c:tx>
          <c:spPr>
            <a:ln w="28575" cap="rnd">
              <a:solidFill>
                <a:srgbClr val="33CC3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33CC33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rgbClr val="33CC33"/>
                </a:solidFill>
                <a:ln w="9525">
                  <a:solidFill>
                    <a:srgbClr val="33CC33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2CA0-48EA-8781-05C38276A1F5}"/>
              </c:ext>
            </c:extLst>
          </c:dPt>
          <c:dPt>
            <c:idx val="1"/>
            <c:marker>
              <c:symbol val="circle"/>
              <c:size val="5"/>
              <c:spPr>
                <a:solidFill>
                  <a:srgbClr val="33CC33"/>
                </a:solidFill>
                <a:ln w="9525">
                  <a:solidFill>
                    <a:srgbClr val="33CC33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2CA0-48EA-8781-05C38276A1F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Testes!$E$3:$E$5</c:f>
              <c:strCache>
                <c:ptCount val="2"/>
                <c:pt idx="0">
                  <c:v>01/05/2021</c:v>
                </c:pt>
                <c:pt idx="1">
                  <c:v>02/05/2021</c:v>
                </c:pt>
              </c:strCache>
            </c:strRef>
          </c:cat>
          <c:val>
            <c:numRef>
              <c:f>Testes!$F$3:$F$5</c:f>
              <c:numCache>
                <c:formatCode>General</c:formatCode>
                <c:ptCount val="2"/>
                <c:pt idx="0">
                  <c:v>780</c:v>
                </c:pt>
                <c:pt idx="1">
                  <c:v>760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A0-48EA-8781-05C38276A1F5}"/>
            </c:ext>
          </c:extLst>
        </c:ser>
        <c:ser>
          <c:idx val="1"/>
          <c:order val="1"/>
          <c:tx>
            <c:strRef>
              <c:f>Testes!$G$2</c:f>
              <c:strCache>
                <c:ptCount val="1"/>
                <c:pt idx="0">
                  <c:v>Média de Valor</c:v>
                </c:pt>
              </c:strCache>
            </c:strRef>
          </c:tx>
          <c:spPr>
            <a:ln w="28575" cap="rnd">
              <a:solidFill>
                <a:srgbClr val="FF5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505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Testes!$E$3:$E$5</c:f>
              <c:strCache>
                <c:ptCount val="2"/>
                <c:pt idx="0">
                  <c:v>01/05/2021</c:v>
                </c:pt>
                <c:pt idx="1">
                  <c:v>02/05/2021</c:v>
                </c:pt>
              </c:strCache>
            </c:strRef>
          </c:cat>
          <c:val>
            <c:numRef>
              <c:f>Testes!$G$3:$G$5</c:f>
              <c:numCache>
                <c:formatCode>General</c:formatCode>
                <c:ptCount val="2"/>
                <c:pt idx="0">
                  <c:v>20</c:v>
                </c:pt>
                <c:pt idx="1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CA0-48EA-8781-05C38276A1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8762360"/>
        <c:axId val="698762688"/>
      </c:lineChart>
      <c:catAx>
        <c:axId val="698762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98762688"/>
        <c:crosses val="autoZero"/>
        <c:auto val="1"/>
        <c:lblAlgn val="ctr"/>
        <c:lblOffset val="100"/>
        <c:noMultiLvlLbl val="0"/>
      </c:catAx>
      <c:valAx>
        <c:axId val="69876268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698762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495300</xdr:colOff>
      <xdr:row>1</xdr:row>
      <xdr:rowOff>0</xdr:rowOff>
    </xdr:from>
    <xdr:to>
      <xdr:col>8</xdr:col>
      <xdr:colOff>76200</xdr:colOff>
      <xdr:row>3</xdr:row>
      <xdr:rowOff>85725</xdr:rowOff>
    </xdr:to>
    <xdr:sp macro="" textlink="Sintetico!B54">
      <xdr:nvSpPr>
        <xdr:cNvPr id="3" name="Retângul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543300" y="190500"/>
          <a:ext cx="1409700" cy="466725"/>
        </a:xfrm>
        <a:prstGeom prst="rect">
          <a:avLst/>
        </a:prstGeom>
        <a:noFill/>
        <a:ln w="190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25C4B0F8-6828-4481-B7BE-87A2E347DB91}" type="TxLink">
            <a:rPr lang="en-US" sz="1800" b="0" i="0" u="none" strike="noStrike">
              <a:solidFill>
                <a:schemeClr val="accent6"/>
              </a:solidFill>
              <a:latin typeface="Calibri"/>
              <a:cs typeface="Calibri"/>
            </a:rPr>
            <a:pPr algn="ctr"/>
            <a:t> R$ -   </a:t>
          </a:fld>
          <a:endParaRPr lang="pt-BR" sz="1800">
            <a:solidFill>
              <a:schemeClr val="accent6"/>
            </a:solidFill>
          </a:endParaRPr>
        </a:p>
      </xdr:txBody>
    </xdr:sp>
    <xdr:clientData/>
  </xdr:twoCellAnchor>
  <xdr:oneCellAnchor>
    <xdr:from>
      <xdr:col>4</xdr:col>
      <xdr:colOff>238125</xdr:colOff>
      <xdr:row>1</xdr:row>
      <xdr:rowOff>66674</xdr:rowOff>
    </xdr:from>
    <xdr:ext cx="962025" cy="342786"/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2676525" y="257174"/>
          <a:ext cx="962025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600" b="1"/>
            <a:t>Renda:</a:t>
          </a:r>
        </a:p>
      </xdr:txBody>
    </xdr:sp>
    <xdr:clientData/>
  </xdr:oneCellAnchor>
  <xdr:oneCellAnchor>
    <xdr:from>
      <xdr:col>8</xdr:col>
      <xdr:colOff>190500</xdr:colOff>
      <xdr:row>1</xdr:row>
      <xdr:rowOff>66674</xdr:rowOff>
    </xdr:from>
    <xdr:ext cx="962025" cy="342786"/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5067300" y="257174"/>
          <a:ext cx="962025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600" b="1"/>
            <a:t>Gastos:</a:t>
          </a:r>
        </a:p>
      </xdr:txBody>
    </xdr:sp>
    <xdr:clientData/>
  </xdr:oneCellAnchor>
  <xdr:twoCellAnchor>
    <xdr:from>
      <xdr:col>9</xdr:col>
      <xdr:colOff>466725</xdr:colOff>
      <xdr:row>0</xdr:row>
      <xdr:rowOff>180975</xdr:rowOff>
    </xdr:from>
    <xdr:to>
      <xdr:col>12</xdr:col>
      <xdr:colOff>47625</xdr:colOff>
      <xdr:row>3</xdr:row>
      <xdr:rowOff>76200</xdr:rowOff>
    </xdr:to>
    <xdr:sp macro="" textlink="Sintetico!B55">
      <xdr:nvSpPr>
        <xdr:cNvPr id="6" name="Retângulo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5953125" y="180975"/>
          <a:ext cx="1409700" cy="466725"/>
        </a:xfrm>
        <a:prstGeom prst="rect">
          <a:avLst/>
        </a:prstGeom>
        <a:noFill/>
        <a:ln w="190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F92A437D-A43D-4F85-8B24-8251D1A5001A}" type="TxLink">
            <a:rPr lang="en-US" sz="1800" b="0" i="0" u="none" strike="noStrike">
              <a:solidFill>
                <a:srgbClr val="FF0000"/>
              </a:solidFill>
              <a:latin typeface="Calibri"/>
              <a:cs typeface="Calibri"/>
            </a:rPr>
            <a:pPr algn="ctr"/>
            <a:t> R$ -   </a:t>
          </a:fld>
          <a:endParaRPr lang="pt-BR" sz="3200">
            <a:solidFill>
              <a:srgbClr val="FF0000"/>
            </a:solidFill>
          </a:endParaRPr>
        </a:p>
      </xdr:txBody>
    </xdr:sp>
    <xdr:clientData/>
  </xdr:twoCellAnchor>
  <xdr:oneCellAnchor>
    <xdr:from>
      <xdr:col>12</xdr:col>
      <xdr:colOff>219075</xdr:colOff>
      <xdr:row>1</xdr:row>
      <xdr:rowOff>76199</xdr:rowOff>
    </xdr:from>
    <xdr:ext cx="1285875" cy="342786"/>
    <xdr:sp macro="" textlink="">
      <xdr:nvSpPr>
        <xdr:cNvPr id="7" name="CaixaDeText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7534275" y="266699"/>
          <a:ext cx="1285875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600" b="1"/>
            <a:t>Acumulado:</a:t>
          </a:r>
        </a:p>
      </xdr:txBody>
    </xdr:sp>
    <xdr:clientData/>
  </xdr:oneCellAnchor>
  <xdr:twoCellAnchor>
    <xdr:from>
      <xdr:col>14</xdr:col>
      <xdr:colOff>200025</xdr:colOff>
      <xdr:row>1</xdr:row>
      <xdr:rowOff>0</xdr:rowOff>
    </xdr:from>
    <xdr:to>
      <xdr:col>16</xdr:col>
      <xdr:colOff>390525</xdr:colOff>
      <xdr:row>3</xdr:row>
      <xdr:rowOff>85725</xdr:rowOff>
    </xdr:to>
    <xdr:sp macro="" textlink="Sintetico!B56">
      <xdr:nvSpPr>
        <xdr:cNvPr id="8" name="Retângul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8734425" y="190500"/>
          <a:ext cx="1409700" cy="466725"/>
        </a:xfrm>
        <a:prstGeom prst="rect">
          <a:avLst/>
        </a:prstGeom>
        <a:noFill/>
        <a:ln w="190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A7A6AC51-0D65-4275-9F50-48D31EA00CC9}" type="TxLink">
            <a:rPr lang="en-US" sz="1800" b="0" i="0" u="none" strike="noStrike">
              <a:solidFill>
                <a:srgbClr val="0070C0"/>
              </a:solidFill>
              <a:latin typeface="Calibri"/>
              <a:cs typeface="Calibri"/>
            </a:rPr>
            <a:pPr algn="ctr"/>
            <a:t> R$ -   </a:t>
          </a:fld>
          <a:endParaRPr lang="pt-BR" sz="4800">
            <a:solidFill>
              <a:srgbClr val="0070C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695325</xdr:colOff>
          <xdr:row>1</xdr:row>
          <xdr:rowOff>133350</xdr:rowOff>
        </xdr:from>
        <xdr:to>
          <xdr:col>3</xdr:col>
          <xdr:colOff>390525</xdr:colOff>
          <xdr:row>1</xdr:row>
          <xdr:rowOff>361950</xdr:rowOff>
        </xdr:to>
        <xdr:sp macro="" textlink="">
          <xdr:nvSpPr>
            <xdr:cNvPr id="9217" name="Figura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14</xdr:col>
      <xdr:colOff>180975</xdr:colOff>
      <xdr:row>0</xdr:row>
      <xdr:rowOff>57150</xdr:rowOff>
    </xdr:from>
    <xdr:to>
      <xdr:col>15</xdr:col>
      <xdr:colOff>238125</xdr:colOff>
      <xdr:row>2</xdr:row>
      <xdr:rowOff>114300</xdr:rowOff>
    </xdr:to>
    <xdr:sp macro="[0]!abre_inserir" textlink="">
      <xdr:nvSpPr>
        <xdr:cNvPr id="3" name="Sinal de Adiçã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1506200" y="57150"/>
          <a:ext cx="666750" cy="647700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152400</xdr:colOff>
      <xdr:row>1</xdr:row>
      <xdr:rowOff>38100</xdr:rowOff>
    </xdr:from>
    <xdr:to>
      <xdr:col>20</xdr:col>
      <xdr:colOff>457200</xdr:colOff>
      <xdr:row>1</xdr:row>
      <xdr:rowOff>342900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44400" y="228600"/>
          <a:ext cx="304800" cy="3048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5</xdr:row>
      <xdr:rowOff>95249</xdr:rowOff>
    </xdr:from>
    <xdr:to>
      <xdr:col>8</xdr:col>
      <xdr:colOff>28575</xdr:colOff>
      <xdr:row>20</xdr:row>
      <xdr:rowOff>47624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hjjongh" refreshedDate="44328.858417824071" createdVersion="7" refreshedVersion="7" minRefreshableVersion="3" recordCount="2" xr:uid="{494A1BBA-C967-49D4-B3E2-6AE84684DBD0}">
  <cacheSource type="worksheet">
    <worksheetSource ref="A2:D4" sheet="Testes"/>
  </cacheSource>
  <cacheFields count="4">
    <cacheField name="Tipo Despesa" numFmtId="0">
      <sharedItems/>
    </cacheField>
    <cacheField name="Valor" numFmtId="164">
      <sharedItems containsSemiMixedTypes="0" containsString="0" containsNumber="1" containsInteger="1" minValue="20" maxValue="20"/>
    </cacheField>
    <cacheField name="Saldo" numFmtId="44">
      <sharedItems containsSemiMixedTypes="0" containsString="0" containsNumber="1" containsInteger="1" minValue="760" maxValue="780"/>
    </cacheField>
    <cacheField name="Data" numFmtId="14">
      <sharedItems containsSemiMixedTypes="0" containsNonDate="0" containsDate="1" containsString="0" minDate="2021-05-01T00:00:00" maxDate="2021-05-03T00:00:00" count="2">
        <d v="2021-05-01T00:00:00"/>
        <d v="2021-05-02T00:00:0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s v="Vale Alimentaçõa"/>
    <n v="20"/>
    <n v="780"/>
    <x v="0"/>
  </r>
  <r>
    <s v="Vale Alimentaçõa"/>
    <n v="20"/>
    <n v="760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03FEDA5-D236-42A2-89BC-B6FBD6C3791C}" name="Tabela dinâmica7" cacheId="3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 chartFormat="5">
  <location ref="E2:G5" firstHeaderRow="0" firstDataRow="1" firstDataCol="1"/>
  <pivotFields count="4">
    <pivotField showAll="0"/>
    <pivotField dataField="1" numFmtId="164" showAll="0"/>
    <pivotField dataField="1" numFmtId="44" showAll="0"/>
    <pivotField axis="axisRow" numFmtId="14" showAll="0">
      <items count="3">
        <item x="0"/>
        <item x="1"/>
        <item t="default"/>
      </items>
    </pivotField>
  </pivotFields>
  <rowFields count="1">
    <field x="3"/>
  </rowFields>
  <rowItems count="3">
    <i>
      <x/>
    </i>
    <i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Mín. de Saldo" fld="2" subtotal="min" baseField="0" baseItem="0"/>
    <dataField name="Média de Valor" fld="1" subtotal="average" baseField="0" baseItem="0"/>
  </dataFields>
  <chartFormats count="4"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2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4" format="3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1DE6F44-7FA3-4F93-BDE3-76740C48F4F8}" name="Tabela4" displayName="Tabela4" ref="B4:G28" totalsRowShown="0" headerRowDxfId="6">
  <tableColumns count="6">
    <tableColumn id="1" xr3:uid="{2EB97C4E-4DCB-4027-9D6C-E7AA0C1C6B61}" name="Mês" dataDxfId="5"/>
    <tableColumn id="2" xr3:uid="{1436AEDF-0C3D-4EE9-BD1C-E498399EF70B}" name="Tipo" dataDxfId="4"/>
    <tableColumn id="3" xr3:uid="{C2528D88-9C45-4D4C-91C5-D0DDD9F31F18}" name="Data"/>
    <tableColumn id="4" xr3:uid="{A09209AC-E291-4B7E-8804-2B710E9C0F0F}" name="Nome"/>
    <tableColumn id="5" xr3:uid="{C9DD38CB-AD8B-4450-A52B-43263E96390C}" name="Valor" dataDxfId="3" dataCellStyle="Moeda"/>
    <tableColumn id="6" xr3:uid="{D2D339C5-9F30-4B16-9C22-23FBA313C11B}" name="Previsto" dataDxfId="2" dataCellStyle="Moeda"/>
  </tableColumns>
  <tableStyleInfo name="TableStyleLight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ADB853B-EEEA-4212-B244-9E71A337300C}" name="Tabela1" displayName="Tabela1" ref="J2:L6" totalsRowShown="0">
  <autoFilter ref="J2:L6" xr:uid="{F8E801FE-2588-4ECE-BA4E-2648EF91EA3D}"/>
  <tableColumns count="3">
    <tableColumn id="1" xr3:uid="{AD296BD8-3554-4F9F-B443-B42C2FE45157}" name="Data" dataDxfId="1"/>
    <tableColumn id="2" xr3:uid="{DD55B124-5178-4C35-9324-9779BF55F892}" name="Saldo">
      <calculatedColumnFormula>K2-J3</calculatedColumnFormula>
    </tableColumn>
    <tableColumn id="3" xr3:uid="{4A4519F5-EF1E-4D33-A7B6-7723BF915DF4}" name="Valor" dataDxfId="0"/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1B327C-D846-4E5A-8422-650DB8FBFF9A}">
  <sheetPr codeName="Planilha1"/>
  <dimension ref="A1:W30"/>
  <sheetViews>
    <sheetView workbookViewId="0">
      <selection activeCell="I22" sqref="I22"/>
    </sheetView>
  </sheetViews>
  <sheetFormatPr defaultRowHeight="15" x14ac:dyDescent="0.25"/>
  <sheetData>
    <row r="1" spans="1:23" x14ac:dyDescent="0.25">
      <c r="A1" s="39"/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</row>
    <row r="2" spans="1:23" x14ac:dyDescent="0.25">
      <c r="A2" s="39"/>
      <c r="B2" s="39"/>
      <c r="C2" s="39"/>
      <c r="D2" s="39"/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  <c r="Q2" s="39"/>
      <c r="R2" s="39"/>
      <c r="S2" s="39"/>
      <c r="T2" s="39"/>
      <c r="U2" s="39"/>
      <c r="V2" s="39"/>
      <c r="W2" s="39"/>
    </row>
    <row r="3" spans="1:23" x14ac:dyDescent="0.25">
      <c r="A3" s="39"/>
      <c r="B3" s="39"/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  <c r="T3" s="39"/>
      <c r="U3" s="39"/>
      <c r="V3" s="39"/>
      <c r="W3" s="39"/>
    </row>
    <row r="4" spans="1:23" x14ac:dyDescent="0.2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  <c r="Q4" s="39"/>
      <c r="R4" s="39"/>
      <c r="S4" s="39"/>
      <c r="T4" s="39"/>
      <c r="U4" s="39"/>
      <c r="V4" s="39"/>
      <c r="W4" s="39"/>
    </row>
    <row r="5" spans="1:23" x14ac:dyDescent="0.2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  <c r="Q5" s="39"/>
      <c r="R5" s="39"/>
      <c r="S5" s="39"/>
      <c r="T5" s="39"/>
      <c r="U5" s="39"/>
      <c r="V5" s="39"/>
      <c r="W5" s="39"/>
    </row>
    <row r="6" spans="1:23" x14ac:dyDescent="0.2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  <c r="Q6" s="39"/>
      <c r="R6" s="39"/>
      <c r="S6" s="39"/>
      <c r="T6" s="39"/>
      <c r="U6" s="39"/>
      <c r="V6" s="39"/>
      <c r="W6" s="39"/>
    </row>
    <row r="7" spans="1:23" x14ac:dyDescent="0.2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  <c r="M7" s="39"/>
      <c r="N7" s="39"/>
      <c r="O7" s="39"/>
      <c r="P7" s="39"/>
      <c r="Q7" s="39"/>
      <c r="R7" s="39"/>
      <c r="S7" s="39"/>
      <c r="T7" s="39"/>
      <c r="U7" s="39"/>
      <c r="V7" s="39"/>
      <c r="W7" s="39"/>
    </row>
    <row r="8" spans="1:23" x14ac:dyDescent="0.2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  <c r="M8" s="39"/>
      <c r="N8" s="39"/>
      <c r="O8" s="39"/>
      <c r="P8" s="39"/>
      <c r="Q8" s="39"/>
      <c r="R8" s="39"/>
      <c r="S8" s="39"/>
      <c r="T8" s="39"/>
      <c r="U8" s="39"/>
      <c r="V8" s="39"/>
      <c r="W8" s="39"/>
    </row>
    <row r="9" spans="1:23" x14ac:dyDescent="0.2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  <c r="M9" s="39"/>
      <c r="N9" s="39"/>
      <c r="O9" s="39"/>
      <c r="P9" s="39"/>
      <c r="Q9" s="39"/>
      <c r="R9" s="39"/>
      <c r="S9" s="39"/>
      <c r="T9" s="39"/>
      <c r="U9" s="39"/>
      <c r="V9" s="39"/>
      <c r="W9" s="39"/>
    </row>
    <row r="10" spans="1:23" x14ac:dyDescent="0.2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O10" s="39"/>
      <c r="P10" s="39"/>
      <c r="Q10" s="39"/>
      <c r="R10" s="39"/>
      <c r="S10" s="39"/>
      <c r="T10" s="39"/>
      <c r="U10" s="39"/>
      <c r="V10" s="39"/>
      <c r="W10" s="39"/>
    </row>
    <row r="11" spans="1:23" x14ac:dyDescent="0.2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  <c r="M11" s="39"/>
      <c r="N11" s="39"/>
      <c r="O11" s="39"/>
      <c r="P11" s="39"/>
      <c r="Q11" s="39"/>
      <c r="R11" s="39"/>
      <c r="S11" s="39"/>
      <c r="T11" s="39"/>
      <c r="U11" s="39"/>
      <c r="V11" s="39"/>
      <c r="W11" s="39"/>
    </row>
    <row r="12" spans="1:23" x14ac:dyDescent="0.2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39"/>
      <c r="O12" s="39"/>
      <c r="P12" s="39"/>
      <c r="Q12" s="39"/>
      <c r="R12" s="39"/>
      <c r="S12" s="39"/>
      <c r="T12" s="39"/>
      <c r="U12" s="39"/>
      <c r="V12" s="39"/>
      <c r="W12" s="39"/>
    </row>
    <row r="13" spans="1:23" x14ac:dyDescent="0.2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39"/>
      <c r="W13" s="39"/>
    </row>
    <row r="14" spans="1:23" x14ac:dyDescent="0.2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39"/>
      <c r="W14" s="39"/>
    </row>
    <row r="15" spans="1:23" x14ac:dyDescent="0.2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</row>
    <row r="16" spans="1:23" x14ac:dyDescent="0.2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  <c r="M16" s="39"/>
      <c r="N16" s="39"/>
      <c r="O16" s="39"/>
      <c r="P16" s="39"/>
      <c r="Q16" s="39"/>
      <c r="R16" s="39"/>
      <c r="S16" s="39"/>
      <c r="T16" s="39"/>
      <c r="U16" s="39"/>
      <c r="V16" s="39"/>
      <c r="W16" s="39"/>
    </row>
    <row r="17" spans="1:23" x14ac:dyDescent="0.2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  <c r="M17" s="39"/>
      <c r="N17" s="39"/>
      <c r="O17" s="39"/>
      <c r="P17" s="39"/>
      <c r="Q17" s="39"/>
      <c r="R17" s="39"/>
      <c r="S17" s="39"/>
      <c r="T17" s="39"/>
      <c r="U17" s="39"/>
      <c r="V17" s="39"/>
      <c r="W17" s="39"/>
    </row>
    <row r="18" spans="1:23" x14ac:dyDescent="0.2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  <c r="M18" s="39"/>
      <c r="N18" s="39"/>
      <c r="O18" s="39"/>
      <c r="P18" s="39"/>
      <c r="Q18" s="39"/>
      <c r="R18" s="39"/>
      <c r="S18" s="39"/>
      <c r="T18" s="39"/>
      <c r="U18" s="39"/>
      <c r="V18" s="39"/>
      <c r="W18" s="39"/>
    </row>
    <row r="19" spans="1:23" x14ac:dyDescent="0.2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  <c r="Q19" s="39"/>
      <c r="R19" s="39"/>
      <c r="S19" s="39"/>
      <c r="T19" s="39"/>
      <c r="U19" s="39"/>
      <c r="V19" s="39"/>
      <c r="W19" s="39"/>
    </row>
    <row r="20" spans="1:23" x14ac:dyDescent="0.25">
      <c r="A20" s="39"/>
      <c r="B20" s="39"/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  <c r="Q20" s="39"/>
      <c r="R20" s="39"/>
      <c r="S20" s="39"/>
      <c r="T20" s="39"/>
      <c r="U20" s="39"/>
      <c r="V20" s="39"/>
      <c r="W20" s="39"/>
    </row>
    <row r="21" spans="1:23" x14ac:dyDescent="0.25">
      <c r="A21" s="39"/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  <c r="Q21" s="39"/>
      <c r="R21" s="39"/>
      <c r="S21" s="39"/>
      <c r="T21" s="39"/>
      <c r="U21" s="39"/>
      <c r="V21" s="39"/>
      <c r="W21" s="39"/>
    </row>
    <row r="22" spans="1:23" x14ac:dyDescent="0.25">
      <c r="A22" s="39"/>
      <c r="B22" s="39"/>
      <c r="C22" s="39"/>
      <c r="D22" s="39"/>
      <c r="E22" s="39"/>
      <c r="F22" s="39"/>
      <c r="G22" s="39"/>
      <c r="H22" s="39"/>
      <c r="I22" s="39"/>
      <c r="J22" s="39"/>
      <c r="K22" s="39"/>
      <c r="L22" s="39"/>
      <c r="M22" s="39"/>
      <c r="N22" s="39"/>
      <c r="O22" s="39"/>
      <c r="P22" s="39"/>
      <c r="Q22" s="39"/>
      <c r="R22" s="39"/>
      <c r="S22" s="39"/>
      <c r="T22" s="39"/>
      <c r="U22" s="39"/>
      <c r="V22" s="39"/>
      <c r="W22" s="39"/>
    </row>
    <row r="23" spans="1:23" x14ac:dyDescent="0.25">
      <c r="A23" s="39"/>
      <c r="B23" s="39"/>
      <c r="C23" s="39"/>
      <c r="D23" s="39"/>
      <c r="E23" s="39"/>
      <c r="F23" s="39"/>
      <c r="G23" s="39"/>
      <c r="H23" s="39"/>
      <c r="I23" s="39"/>
      <c r="J23" s="39"/>
      <c r="K23" s="39"/>
      <c r="L23" s="39"/>
      <c r="M23" s="39"/>
      <c r="N23" s="39"/>
      <c r="O23" s="39"/>
      <c r="P23" s="39"/>
      <c r="Q23" s="39"/>
      <c r="R23" s="39"/>
      <c r="S23" s="39"/>
      <c r="T23" s="39"/>
      <c r="U23" s="39"/>
      <c r="V23" s="39"/>
      <c r="W23" s="39"/>
    </row>
    <row r="24" spans="1:23" x14ac:dyDescent="0.25">
      <c r="A24" s="39"/>
      <c r="B24" s="39"/>
      <c r="C24" s="39"/>
      <c r="D24" s="39"/>
      <c r="E24" s="39"/>
      <c r="F24" s="39"/>
      <c r="G24" s="39"/>
      <c r="H24" s="39"/>
      <c r="I24" s="39"/>
      <c r="J24" s="39"/>
      <c r="K24" s="39"/>
      <c r="L24" s="39"/>
      <c r="M24" s="39"/>
      <c r="N24" s="39"/>
      <c r="O24" s="39"/>
      <c r="P24" s="39"/>
      <c r="Q24" s="39"/>
      <c r="R24" s="39"/>
      <c r="S24" s="39"/>
      <c r="T24" s="39"/>
      <c r="U24" s="39"/>
      <c r="V24" s="39"/>
      <c r="W24" s="39"/>
    </row>
    <row r="25" spans="1:23" x14ac:dyDescent="0.25">
      <c r="A25" s="39"/>
      <c r="B25" s="39"/>
      <c r="C25" s="39"/>
      <c r="D25" s="39"/>
      <c r="E25" s="39"/>
      <c r="F25" s="39"/>
      <c r="G25" s="39"/>
      <c r="H25" s="39"/>
      <c r="I25" s="39"/>
      <c r="J25" s="39"/>
      <c r="K25" s="39"/>
      <c r="L25" s="39"/>
      <c r="M25" s="39"/>
      <c r="N25" s="39"/>
      <c r="O25" s="39"/>
      <c r="P25" s="39"/>
      <c r="Q25" s="39"/>
      <c r="R25" s="39"/>
      <c r="S25" s="39"/>
      <c r="T25" s="39"/>
      <c r="U25" s="39"/>
      <c r="V25" s="39"/>
      <c r="W25" s="39"/>
    </row>
    <row r="26" spans="1:23" x14ac:dyDescent="0.25">
      <c r="A26" s="39"/>
      <c r="B26" s="39"/>
      <c r="C26" s="39"/>
      <c r="D26" s="39"/>
      <c r="E26" s="39"/>
      <c r="F26" s="39"/>
      <c r="G26" s="39"/>
      <c r="H26" s="39"/>
      <c r="I26" s="39"/>
      <c r="J26" s="39"/>
      <c r="K26" s="39"/>
      <c r="L26" s="39"/>
      <c r="M26" s="39"/>
      <c r="N26" s="39"/>
      <c r="O26" s="39"/>
      <c r="P26" s="39"/>
      <c r="Q26" s="39"/>
      <c r="R26" s="39"/>
      <c r="S26" s="39"/>
      <c r="T26" s="39"/>
      <c r="U26" s="39"/>
      <c r="V26" s="39"/>
      <c r="W26" s="39"/>
    </row>
    <row r="27" spans="1:23" x14ac:dyDescent="0.25">
      <c r="A27" s="39"/>
      <c r="B27" s="39"/>
      <c r="C27" s="39"/>
      <c r="D27" s="39"/>
      <c r="E27" s="39"/>
      <c r="F27" s="39"/>
      <c r="G27" s="39"/>
      <c r="H27" s="39"/>
      <c r="I27" s="39"/>
      <c r="J27" s="39"/>
      <c r="K27" s="39"/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9"/>
      <c r="W27" s="39"/>
    </row>
    <row r="28" spans="1:23" x14ac:dyDescent="0.25">
      <c r="A28" s="39"/>
      <c r="B28" s="39"/>
      <c r="C28" s="39"/>
      <c r="D28" s="39"/>
      <c r="E28" s="39"/>
      <c r="F28" s="39"/>
      <c r="G28" s="39"/>
      <c r="H28" s="39"/>
      <c r="I28" s="39"/>
      <c r="J28" s="39"/>
      <c r="K28" s="39"/>
      <c r="L28" s="39"/>
      <c r="M28" s="39"/>
      <c r="N28" s="39"/>
      <c r="O28" s="39"/>
      <c r="P28" s="39"/>
      <c r="Q28" s="39"/>
      <c r="R28" s="39"/>
      <c r="S28" s="39"/>
      <c r="T28" s="39"/>
      <c r="U28" s="39"/>
      <c r="V28" s="39"/>
      <c r="W28" s="39"/>
    </row>
    <row r="29" spans="1:23" x14ac:dyDescent="0.25">
      <c r="A29" s="39"/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O29" s="39"/>
      <c r="P29" s="39"/>
      <c r="Q29" s="39"/>
      <c r="R29" s="39"/>
      <c r="S29" s="39"/>
      <c r="T29" s="39"/>
      <c r="U29" s="39"/>
      <c r="V29" s="39"/>
      <c r="W29" s="39"/>
    </row>
    <row r="30" spans="1:23" x14ac:dyDescent="0.25">
      <c r="A30" s="39"/>
      <c r="B30" s="39"/>
      <c r="C30" s="39"/>
      <c r="D30" s="39"/>
      <c r="E30" s="39"/>
      <c r="F30" s="39"/>
      <c r="G30" s="39"/>
      <c r="H30" s="39"/>
      <c r="I30" s="39"/>
      <c r="J30" s="39"/>
      <c r="K30" s="39"/>
      <c r="L30" s="39"/>
      <c r="M30" s="39"/>
      <c r="N30" s="39"/>
      <c r="O30" s="39"/>
      <c r="P30" s="39"/>
      <c r="Q30" s="39"/>
      <c r="R30" s="39"/>
      <c r="S30" s="39"/>
      <c r="T30" s="39"/>
      <c r="U30" s="39"/>
      <c r="V30" s="39"/>
      <c r="W30" s="39"/>
    </row>
  </sheetData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D21F15-D13E-49CE-872D-43F59266A3B1}">
  <sheetPr codeName="Planilha2"/>
  <dimension ref="A2:N56"/>
  <sheetViews>
    <sheetView showGridLines="0" tabSelected="1" zoomScaleNormal="100" workbookViewId="0">
      <selection activeCell="F19" sqref="F19"/>
    </sheetView>
  </sheetViews>
  <sheetFormatPr defaultRowHeight="15" x14ac:dyDescent="0.25"/>
  <cols>
    <col min="1" max="1" width="18.7109375" bestFit="1" customWidth="1"/>
    <col min="2" max="2" width="13.28515625" bestFit="1" customWidth="1"/>
    <col min="6" max="13" width="12.140625" bestFit="1" customWidth="1"/>
    <col min="14" max="14" width="13.28515625" bestFit="1" customWidth="1"/>
  </cols>
  <sheetData>
    <row r="2" spans="1:14" ht="31.5" x14ac:dyDescent="0.5">
      <c r="E2" s="10" t="s">
        <v>65</v>
      </c>
      <c r="F2" s="11"/>
    </row>
    <row r="3" spans="1:14" x14ac:dyDescent="0.25">
      <c r="A3" s="22"/>
      <c r="B3" s="23">
        <v>44197</v>
      </c>
      <c r="C3" s="23">
        <v>44228</v>
      </c>
      <c r="D3" s="23">
        <v>44256</v>
      </c>
      <c r="E3" s="23">
        <v>44287</v>
      </c>
      <c r="F3" s="23">
        <v>44317</v>
      </c>
      <c r="G3" s="23">
        <v>44348</v>
      </c>
      <c r="H3" s="23">
        <v>44378</v>
      </c>
      <c r="I3" s="23">
        <v>44409</v>
      </c>
      <c r="J3" s="23">
        <v>44440</v>
      </c>
      <c r="K3" s="23">
        <v>44470</v>
      </c>
      <c r="L3" s="23">
        <v>44501</v>
      </c>
      <c r="M3" s="23">
        <v>44531</v>
      </c>
      <c r="N3" s="24" t="s">
        <v>30</v>
      </c>
    </row>
    <row r="4" spans="1:14" x14ac:dyDescent="0.25">
      <c r="A4" s="12" t="s">
        <v>26</v>
      </c>
      <c r="B4" s="25">
        <f>SUM(B5:B8)</f>
        <v>0</v>
      </c>
      <c r="C4" s="25">
        <f t="shared" ref="C4:M4" si="0">SUM(C5:C8)</f>
        <v>0</v>
      </c>
      <c r="D4" s="25">
        <f t="shared" si="0"/>
        <v>0</v>
      </c>
      <c r="E4" s="25">
        <f t="shared" si="0"/>
        <v>0</v>
      </c>
      <c r="F4" s="25">
        <f t="shared" si="0"/>
        <v>0</v>
      </c>
      <c r="G4" s="25">
        <f t="shared" si="0"/>
        <v>0</v>
      </c>
      <c r="H4" s="25">
        <f t="shared" si="0"/>
        <v>0</v>
      </c>
      <c r="I4" s="25">
        <f t="shared" si="0"/>
        <v>0</v>
      </c>
      <c r="J4" s="25">
        <f t="shared" si="0"/>
        <v>0</v>
      </c>
      <c r="K4" s="25">
        <f t="shared" si="0"/>
        <v>0</v>
      </c>
      <c r="L4" s="25">
        <f t="shared" si="0"/>
        <v>0</v>
      </c>
      <c r="M4" s="25">
        <f t="shared" si="0"/>
        <v>0</v>
      </c>
      <c r="N4" s="26">
        <f>SUM(B4:M4)</f>
        <v>0</v>
      </c>
    </row>
    <row r="5" spans="1:14" x14ac:dyDescent="0.25">
      <c r="A5" t="s">
        <v>29</v>
      </c>
      <c r="B5" s="4">
        <f>SUMIFS(Dados!$F:$F,Dados!$C:$C,$A$5,Dados!$B:$B,B$3)</f>
        <v>0</v>
      </c>
      <c r="C5" s="4">
        <f>SUMIFS(Dados!$F:$F,Dados!$C:$C,$A$5,Dados!$B:$B,C$3)</f>
        <v>0</v>
      </c>
      <c r="D5" s="4">
        <f>SUMIFS(Dados!$F:$F,Dados!$C:$C,$A$5,Dados!$B:$B,D$3)</f>
        <v>0</v>
      </c>
      <c r="E5" s="4">
        <f>SUMIFS(Dados!$F:$F,Dados!$C:$C,$A$5,Dados!$B:$B,E$3)</f>
        <v>0</v>
      </c>
      <c r="F5" s="4">
        <f>SUMIFS(Dados!$F:$F,Dados!$C:$C,$A$5,Dados!$B:$B,F$3)</f>
        <v>0</v>
      </c>
      <c r="G5" s="4">
        <f>SUMIFS(Dados!$F:$F,Dados!$C:$C,$A$5,Dados!$B:$B,G$3)</f>
        <v>0</v>
      </c>
      <c r="H5" s="4">
        <f>SUMIFS(Dados!$F:$F,Dados!$C:$C,$A$5,Dados!$B:$B,H$3)</f>
        <v>0</v>
      </c>
      <c r="I5" s="4">
        <f>SUMIFS(Dados!$F:$F,Dados!$C:$C,$A$5,Dados!$B:$B,I$3)</f>
        <v>0</v>
      </c>
      <c r="J5" s="4">
        <f>SUMIFS(Dados!$F:$F,Dados!$C:$C,$A$5,Dados!$B:$B,J$3)</f>
        <v>0</v>
      </c>
      <c r="K5" s="4">
        <f>SUMIFS(Dados!$F:$F,Dados!$C:$C,$A$5,Dados!$B:$B,K$3)</f>
        <v>0</v>
      </c>
      <c r="L5" s="4">
        <f>SUMIFS(Dados!$F:$F,Dados!$C:$C,$A$5,Dados!$B:$B,L$3)</f>
        <v>0</v>
      </c>
      <c r="M5" s="4">
        <f>SUMIFS(Dados!$F:$F,Dados!$C:$C,$A$5,Dados!$B:$B,M$3)</f>
        <v>0</v>
      </c>
      <c r="N5" s="27">
        <f>SUM(B5:M5)</f>
        <v>0</v>
      </c>
    </row>
    <row r="6" spans="1:14" x14ac:dyDescent="0.25">
      <c r="A6" t="s">
        <v>28</v>
      </c>
      <c r="B6" s="4">
        <f>SUMIFS(Dados!$F:$F,Dados!$C:$C,$A$6,Dados!$B:$B,B$3)</f>
        <v>0</v>
      </c>
      <c r="C6" s="4">
        <f>SUMIFS(Dados!$F:$F,Dados!$C:$C,$A$6,Dados!$B:$B,C$3)</f>
        <v>0</v>
      </c>
      <c r="D6" s="4">
        <f>SUMIFS(Dados!$F:$F,Dados!$C:$C,$A$6,Dados!$B:$B,D$3)</f>
        <v>0</v>
      </c>
      <c r="E6" s="4">
        <f>SUMIFS(Dados!$F:$F,Dados!$C:$C,$A$6,Dados!$B:$B,E$3)</f>
        <v>0</v>
      </c>
      <c r="F6" s="4">
        <f>SUMIFS(Dados!$F:$F,Dados!$C:$C,$A$6,Dados!$B:$B,F$3)</f>
        <v>0</v>
      </c>
      <c r="G6" s="4">
        <f>SUMIFS(Dados!$F:$F,Dados!$C:$C,$A$6,Dados!$B:$B,G$3)</f>
        <v>0</v>
      </c>
      <c r="H6" s="4">
        <f>SUMIFS(Dados!$F:$F,Dados!$C:$C,$A$6,Dados!$B:$B,H$3)</f>
        <v>0</v>
      </c>
      <c r="I6" s="4">
        <f>SUMIFS(Dados!$F:$F,Dados!$C:$C,$A$6,Dados!$B:$B,I$3)</f>
        <v>0</v>
      </c>
      <c r="J6" s="4">
        <f>SUMIFS(Dados!$F:$F,Dados!$C:$C,$A$6,Dados!$B:$B,J$3)</f>
        <v>0</v>
      </c>
      <c r="K6" s="4">
        <f>SUMIFS(Dados!$F:$F,Dados!$C:$C,$A$6,Dados!$B:$B,K$3)</f>
        <v>0</v>
      </c>
      <c r="L6" s="4">
        <f>SUMIFS(Dados!$F:$F,Dados!$C:$C,$A$6,Dados!$B:$B,L$3)</f>
        <v>0</v>
      </c>
      <c r="M6" s="4">
        <f>SUMIFS(Dados!$F:$F,Dados!$C:$C,$A$6,Dados!$B:$B,M$3)</f>
        <v>0</v>
      </c>
      <c r="N6" s="27">
        <f t="shared" ref="N6:N9" si="1">SUM(B6:M6)</f>
        <v>0</v>
      </c>
    </row>
    <row r="7" spans="1:14" x14ac:dyDescent="0.25">
      <c r="A7" t="s">
        <v>27</v>
      </c>
      <c r="B7" s="4">
        <f>SUMIFS(Dados!$F:$F,Dados!$C:$C,$A$7,Dados!$B:$B,B$3)</f>
        <v>0</v>
      </c>
      <c r="C7" s="4">
        <f>SUMIFS(Dados!$F:$F,Dados!$C:$C,$A$7,Dados!$B:$B,C$3)</f>
        <v>0</v>
      </c>
      <c r="D7" s="4">
        <f>SUMIFS(Dados!$F:$F,Dados!$C:$C,$A$7,Dados!$B:$B,D$3)</f>
        <v>0</v>
      </c>
      <c r="E7" s="4">
        <f>SUMIFS(Dados!$F:$F,Dados!$C:$C,$A$7,Dados!$B:$B,E$3)</f>
        <v>0</v>
      </c>
      <c r="F7" s="4">
        <f>SUMIFS(Dados!$F:$F,Dados!$C:$C,$A$7,Dados!$B:$B,F$3)</f>
        <v>0</v>
      </c>
      <c r="G7" s="4">
        <f>SUMIFS(Dados!$F:$F,Dados!$C:$C,$A$7,Dados!$B:$B,G$3)</f>
        <v>0</v>
      </c>
      <c r="H7" s="4">
        <f>SUMIFS(Dados!$F:$F,Dados!$C:$C,$A$7,Dados!$B:$B,H$3)</f>
        <v>0</v>
      </c>
      <c r="I7" s="4">
        <f>SUMIFS(Dados!$F:$F,Dados!$C:$C,$A$7,Dados!$B:$B,I$3)</f>
        <v>0</v>
      </c>
      <c r="J7" s="4">
        <f>SUMIFS(Dados!$F:$F,Dados!$C:$C,$A$7,Dados!$B:$B,J$3)</f>
        <v>0</v>
      </c>
      <c r="K7" s="4">
        <f>SUMIFS(Dados!$F:$F,Dados!$C:$C,$A$7,Dados!$B:$B,K$3)</f>
        <v>0</v>
      </c>
      <c r="L7" s="4">
        <f>SUMIFS(Dados!$F:$F,Dados!$C:$C,$A$7,Dados!$B:$B,L$3)</f>
        <v>0</v>
      </c>
      <c r="M7" s="4">
        <f>SUMIFS(Dados!$F:$F,Dados!$C:$C,$A$7,Dados!$B:$B,M$3)</f>
        <v>0</v>
      </c>
      <c r="N7" s="27">
        <f t="shared" si="1"/>
        <v>0</v>
      </c>
    </row>
    <row r="8" spans="1:14" x14ac:dyDescent="0.25">
      <c r="A8" t="s">
        <v>37</v>
      </c>
      <c r="B8" s="4">
        <f>SUMIFS(Dados!$F:$F,Dados!$C:$C,$A$8,Dados!$B:$B,B$3)</f>
        <v>0</v>
      </c>
      <c r="C8" s="4">
        <f>SUMIFS(Dados!$F:$F,Dados!$C:$C,$A$8,Dados!$B:$B,C$3)</f>
        <v>0</v>
      </c>
      <c r="D8" s="4">
        <f>SUMIFS(Dados!$F:$F,Dados!$C:$C,$A$8,Dados!$B:$B,D$3)</f>
        <v>0</v>
      </c>
      <c r="E8" s="4">
        <f>SUMIFS(Dados!$F:$F,Dados!$C:$C,$A$8,Dados!$B:$B,E$3)</f>
        <v>0</v>
      </c>
      <c r="F8" s="4">
        <f>SUMIFS(Dados!$F:$F,Dados!$C:$C,$A$8,Dados!$B:$B,F$3)</f>
        <v>0</v>
      </c>
      <c r="G8" s="4">
        <f>SUMIFS(Dados!$F:$F,Dados!$C:$C,$A$8,Dados!$B:$B,G$3)</f>
        <v>0</v>
      </c>
      <c r="H8" s="4">
        <f>SUMIFS(Dados!$F:$F,Dados!$C:$C,$A$8,Dados!$B:$B,H$3)</f>
        <v>0</v>
      </c>
      <c r="I8" s="4">
        <f>SUMIFS(Dados!$F:$F,Dados!$C:$C,$A$8,Dados!$B:$B,I$3)</f>
        <v>0</v>
      </c>
      <c r="J8" s="4">
        <f>SUMIFS(Dados!$F:$F,Dados!$C:$C,$A$8,Dados!$B:$B,J$3)</f>
        <v>0</v>
      </c>
      <c r="K8" s="4">
        <f>SUMIFS(Dados!$F:$F,Dados!$C:$C,$A$8,Dados!$B:$B,K$3)</f>
        <v>0</v>
      </c>
      <c r="L8" s="4">
        <f>SUMIFS(Dados!$F:$F,Dados!$C:$C,$A$8,Dados!$B:$B,L$3)</f>
        <v>0</v>
      </c>
      <c r="M8" s="4">
        <f>SUMIFS(Dados!$F:$F,Dados!$C:$C,$A$8,Dados!$B:$B,M$3)</f>
        <v>0</v>
      </c>
      <c r="N8" s="27">
        <f t="shared" si="1"/>
        <v>0</v>
      </c>
    </row>
    <row r="9" spans="1:14" x14ac:dyDescent="0.25">
      <c r="A9" t="s">
        <v>53</v>
      </c>
      <c r="B9" s="4">
        <f>SUMIFS(Dados!$F:$F,Dados!$C:$C,$A9,Dados!$B:$B,$B$3)</f>
        <v>0</v>
      </c>
      <c r="C9" s="4">
        <f>SUMIFS(Dados!$F:$F,Dados!$C:$C,$A$9,Dados!$B:$B,C3)</f>
        <v>0</v>
      </c>
      <c r="D9" s="4">
        <f>SUMIFS(Dados!$F:$F,Dados!$C:$C,$A$9,Dados!$B:$B,D3)</f>
        <v>0</v>
      </c>
      <c r="E9" s="4">
        <f>SUMIFS(Dados!$F:$F,Dados!$C:$C,$A$9,Dados!$B:$B,E3)</f>
        <v>0</v>
      </c>
      <c r="F9" s="4">
        <f>SUMIFS(Dados!$F:$F,Dados!$C:$C,$A$9,Dados!$B:$B,F3)</f>
        <v>0</v>
      </c>
      <c r="G9" s="4">
        <f>SUMIFS(Dados!$F:$F,Dados!$C:$C,$A$9,Dados!$B:$B,G3)</f>
        <v>0</v>
      </c>
      <c r="H9" s="4">
        <f>SUMIFS(Dados!$F:$F,Dados!$C:$C,$A$9,Dados!$B:$B,H3)</f>
        <v>0</v>
      </c>
      <c r="I9" s="4">
        <f>SUMIFS(Dados!$F:$F,Dados!$C:$C,$A$9,Dados!$B:$B,I3)</f>
        <v>0</v>
      </c>
      <c r="J9" s="4">
        <f>SUMIFS(Dados!$F:$F,Dados!$C:$C,$A$9,Dados!$B:$B,J3)</f>
        <v>0</v>
      </c>
      <c r="K9" s="4">
        <f>SUMIFS(Dados!$F:$F,Dados!$C:$C,$A$9,Dados!$B:$B,K3)</f>
        <v>0</v>
      </c>
      <c r="L9" s="4">
        <f>SUMIFS(Dados!$F:$F,Dados!$C:$C,$A$9,Dados!$B:$B,L3)</f>
        <v>0</v>
      </c>
      <c r="M9" s="4">
        <f>SUMIFS(Dados!$F:$F,Dados!$C:$C,$A$9,Dados!$B:$B,M3)</f>
        <v>0</v>
      </c>
      <c r="N9" s="27">
        <f t="shared" si="1"/>
        <v>0</v>
      </c>
    </row>
    <row r="11" spans="1:14" x14ac:dyDescent="0.25">
      <c r="A11" s="12" t="s">
        <v>25</v>
      </c>
      <c r="B11" s="28">
        <f>SUM(B12:B19)</f>
        <v>0</v>
      </c>
      <c r="C11" s="28">
        <f t="shared" ref="C11:L11" si="2">SUM(C12:C19)</f>
        <v>0</v>
      </c>
      <c r="D11" s="28">
        <f t="shared" si="2"/>
        <v>0</v>
      </c>
      <c r="E11" s="28">
        <f t="shared" si="2"/>
        <v>0</v>
      </c>
      <c r="F11" s="28">
        <f t="shared" si="2"/>
        <v>0</v>
      </c>
      <c r="G11" s="28">
        <f t="shared" si="2"/>
        <v>0</v>
      </c>
      <c r="H11" s="28">
        <f t="shared" si="2"/>
        <v>0</v>
      </c>
      <c r="I11" s="28">
        <f t="shared" si="2"/>
        <v>0</v>
      </c>
      <c r="J11" s="28">
        <f t="shared" si="2"/>
        <v>0</v>
      </c>
      <c r="K11" s="28">
        <f t="shared" si="2"/>
        <v>0</v>
      </c>
      <c r="L11" s="28">
        <f t="shared" si="2"/>
        <v>0</v>
      </c>
      <c r="M11" s="28">
        <f>SUM(M12:M19)</f>
        <v>0</v>
      </c>
      <c r="N11" s="28">
        <f>SUM(B11:M11)</f>
        <v>0</v>
      </c>
    </row>
    <row r="12" spans="1:14" x14ac:dyDescent="0.25">
      <c r="A12" t="s">
        <v>31</v>
      </c>
      <c r="B12" s="4">
        <f>SUMIFS(Dados!$F:$F,Dados!$C:$C,$A12,Dados!$B:$B,B$3)</f>
        <v>0</v>
      </c>
      <c r="C12" s="4">
        <f>SUMIFS(Dados!$F:$F,Dados!$C:$C,$A12,Dados!$B:$B,C$3)</f>
        <v>0</v>
      </c>
      <c r="D12" s="4">
        <f>SUMIFS(Dados!$F:$F,Dados!$C:$C,$A12,Dados!$B:$B,D$3)</f>
        <v>0</v>
      </c>
      <c r="E12" s="4">
        <f>SUMIFS(Dados!$F:$F,Dados!$C:$C,$A12,Dados!$B:$B,E$3)</f>
        <v>0</v>
      </c>
      <c r="F12" s="4">
        <f>SUMIFS(Dados!$F:$F,Dados!$C:$C,$A12,Dados!$B:$B,F$3)</f>
        <v>0</v>
      </c>
      <c r="G12" s="4">
        <f>SUMIFS(Dados!$F:$F,Dados!$C:$C,$A12,Dados!$B:$B,G$3)</f>
        <v>0</v>
      </c>
      <c r="H12" s="4">
        <f>SUMIFS(Dados!$F:$F,Dados!$C:$C,$A12,Dados!$B:$B,H$3)</f>
        <v>0</v>
      </c>
      <c r="I12" s="4">
        <f>SUMIFS(Dados!$F:$F,Dados!$C:$C,$A12,Dados!$B:$B,I$3)</f>
        <v>0</v>
      </c>
      <c r="J12" s="4">
        <f>SUMIFS(Dados!$F:$F,Dados!$C:$C,$A12,Dados!$B:$B,J$3)</f>
        <v>0</v>
      </c>
      <c r="K12" s="4">
        <f>SUMIFS(Dados!$F:$F,Dados!$C:$C,$A12,Dados!$B:$B,K$3)</f>
        <v>0</v>
      </c>
      <c r="L12" s="4">
        <f>SUMIFS(Dados!$F:$F,Dados!$C:$C,$A12,Dados!$B:$B,L$3)</f>
        <v>0</v>
      </c>
      <c r="M12" s="4">
        <f>SUMIFS(Dados!$F:$F,Dados!$C:$C,$A12,Dados!$B:$B,M$3)</f>
        <v>0</v>
      </c>
      <c r="N12" s="27">
        <f>SUM(B12:M12)</f>
        <v>0</v>
      </c>
    </row>
    <row r="13" spans="1:14" x14ac:dyDescent="0.25">
      <c r="A13" t="s">
        <v>32</v>
      </c>
      <c r="B13" s="4">
        <f>SUMIFS(Dados!$F:$F,Dados!$C:$C,$A13,Dados!$B:$B,B$3)</f>
        <v>0</v>
      </c>
      <c r="C13" s="4">
        <f>SUMIFS(Dados!$F:$F,Dados!$C:$C,$A13,Dados!$B:$B,C$3)</f>
        <v>0</v>
      </c>
      <c r="D13" s="4">
        <f>SUMIFS(Dados!$F:$F,Dados!$C:$C,$A13,Dados!$B:$B,D$3)</f>
        <v>0</v>
      </c>
      <c r="E13" s="4">
        <f>SUMIFS(Dados!$F:$F,Dados!$C:$C,$A13,Dados!$B:$B,E$3)</f>
        <v>0</v>
      </c>
      <c r="F13" s="4">
        <f>SUMIFS(Dados!$F:$F,Dados!$C:$C,$A13,Dados!$B:$B,F$3)</f>
        <v>0</v>
      </c>
      <c r="G13" s="4">
        <f>SUMIFS(Dados!$F:$F,Dados!$C:$C,$A13,Dados!$B:$B,G$3)</f>
        <v>0</v>
      </c>
      <c r="H13" s="4">
        <f>SUMIFS(Dados!$F:$F,Dados!$C:$C,$A13,Dados!$B:$B,H$3)</f>
        <v>0</v>
      </c>
      <c r="I13" s="4">
        <f>SUMIFS(Dados!$F:$F,Dados!$C:$C,$A13,Dados!$B:$B,I$3)</f>
        <v>0</v>
      </c>
      <c r="J13" s="4">
        <f>SUMIFS(Dados!$F:$F,Dados!$C:$C,$A13,Dados!$B:$B,J$3)</f>
        <v>0</v>
      </c>
      <c r="K13" s="4">
        <f>SUMIFS(Dados!$F:$F,Dados!$C:$C,$A13,Dados!$B:$B,K$3)</f>
        <v>0</v>
      </c>
      <c r="L13" s="4">
        <f>SUMIFS(Dados!$F:$F,Dados!$C:$C,$A13,Dados!$B:$B,L$3)</f>
        <v>0</v>
      </c>
      <c r="M13" s="4">
        <f>SUMIFS(Dados!$F:$F,Dados!$C:$C,$A13,Dados!$B:$B,M$3)</f>
        <v>0</v>
      </c>
      <c r="N13" s="27">
        <f t="shared" ref="N13:N18" si="3">SUM(B13:M13)</f>
        <v>0</v>
      </c>
    </row>
    <row r="14" spans="1:14" x14ac:dyDescent="0.25">
      <c r="A14" t="s">
        <v>33</v>
      </c>
      <c r="B14" s="4">
        <f>SUMIFS(Dados!$F:$F,Dados!$C:$C,$A14,Dados!$B:$B,B$3)</f>
        <v>0</v>
      </c>
      <c r="C14" s="4">
        <f>SUMIFS(Dados!$F:$F,Dados!$C:$C,$A14,Dados!$B:$B,C$3)</f>
        <v>0</v>
      </c>
      <c r="D14" s="4">
        <f>SUMIFS(Dados!$F:$F,Dados!$C:$C,$A14,Dados!$B:$B,D$3)</f>
        <v>0</v>
      </c>
      <c r="E14" s="4">
        <f>SUMIFS(Dados!$F:$F,Dados!$C:$C,$A14,Dados!$B:$B,E$3)</f>
        <v>0</v>
      </c>
      <c r="F14" s="4">
        <f>SUMIFS(Dados!$F:$F,Dados!$C:$C,$A14,Dados!$B:$B,F$3)</f>
        <v>0</v>
      </c>
      <c r="G14" s="4">
        <f>SUMIFS(Dados!$F:$F,Dados!$C:$C,$A14,Dados!$B:$B,G$3)</f>
        <v>0</v>
      </c>
      <c r="H14" s="4">
        <f>SUMIFS(Dados!$F:$F,Dados!$C:$C,$A14,Dados!$B:$B,H$3)</f>
        <v>0</v>
      </c>
      <c r="I14" s="4">
        <f>SUMIFS(Dados!$F:$F,Dados!$C:$C,$A14,Dados!$B:$B,I$3)</f>
        <v>0</v>
      </c>
      <c r="J14" s="4">
        <f>SUMIFS(Dados!$F:$F,Dados!$C:$C,$A14,Dados!$B:$B,J$3)</f>
        <v>0</v>
      </c>
      <c r="K14" s="4">
        <f>SUMIFS(Dados!$F:$F,Dados!$C:$C,$A14,Dados!$B:$B,K$3)</f>
        <v>0</v>
      </c>
      <c r="L14" s="4">
        <f>SUMIFS(Dados!$F:$F,Dados!$C:$C,$A14,Dados!$B:$B,L$3)</f>
        <v>0</v>
      </c>
      <c r="M14" s="4">
        <f>SUMIFS(Dados!$F:$F,Dados!$C:$C,$A14,Dados!$B:$B,M$3)</f>
        <v>0</v>
      </c>
      <c r="N14" s="27">
        <f t="shared" si="3"/>
        <v>0</v>
      </c>
    </row>
    <row r="15" spans="1:14" x14ac:dyDescent="0.25">
      <c r="A15" t="s">
        <v>34</v>
      </c>
      <c r="B15" s="4">
        <f>SUMIFS(Dados!$F:$F,Dados!$C:$C,$A15,Dados!$B:$B,B$3)</f>
        <v>0</v>
      </c>
      <c r="C15" s="4">
        <f>SUMIFS(Dados!$F:$F,Dados!$C:$C,$A15,Dados!$B:$B,C$3)</f>
        <v>0</v>
      </c>
      <c r="D15" s="4">
        <f>SUMIFS(Dados!$F:$F,Dados!$C:$C,$A15,Dados!$B:$B,D$3)</f>
        <v>0</v>
      </c>
      <c r="E15" s="4">
        <f>SUMIFS(Dados!$F:$F,Dados!$C:$C,$A15,Dados!$B:$B,E$3)</f>
        <v>0</v>
      </c>
      <c r="F15" s="4">
        <f>SUMIFS(Dados!$F:$F,Dados!$C:$C,$A15,Dados!$B:$B,F$3)</f>
        <v>0</v>
      </c>
      <c r="G15" s="4">
        <f>SUMIFS(Dados!$F:$F,Dados!$C:$C,$A15,Dados!$B:$B,G$3)</f>
        <v>0</v>
      </c>
      <c r="H15" s="4">
        <f>SUMIFS(Dados!$F:$F,Dados!$C:$C,$A15,Dados!$B:$B,H$3)</f>
        <v>0</v>
      </c>
      <c r="I15" s="4">
        <f>SUMIFS(Dados!$F:$F,Dados!$C:$C,$A15,Dados!$B:$B,I$3)</f>
        <v>0</v>
      </c>
      <c r="J15" s="4">
        <f>SUMIFS(Dados!$F:$F,Dados!$C:$C,$A15,Dados!$B:$B,J$3)</f>
        <v>0</v>
      </c>
      <c r="K15" s="4">
        <f>SUMIFS(Dados!$F:$F,Dados!$C:$C,$A15,Dados!$B:$B,K$3)</f>
        <v>0</v>
      </c>
      <c r="L15" s="4">
        <f>SUMIFS(Dados!$F:$F,Dados!$C:$C,$A15,Dados!$B:$B,L$3)</f>
        <v>0</v>
      </c>
      <c r="M15" s="4">
        <f>SUMIFS(Dados!$F:$F,Dados!$C:$C,$A15,Dados!$B:$B,M$3)</f>
        <v>0</v>
      </c>
      <c r="N15" s="27">
        <f t="shared" si="3"/>
        <v>0</v>
      </c>
    </row>
    <row r="16" spans="1:14" x14ac:dyDescent="0.25">
      <c r="A16" t="s">
        <v>38</v>
      </c>
      <c r="B16" s="4">
        <f>SUMIFS(Dados!$F:$F,Dados!$C:$C,$A16,Dados!$B:$B,B$3)</f>
        <v>0</v>
      </c>
      <c r="C16" s="4">
        <f>SUMIFS(Dados!$F:$F,Dados!$C:$C,$A16,Dados!$B:$B,C$3)</f>
        <v>0</v>
      </c>
      <c r="D16" s="4">
        <f>SUMIFS(Dados!$F:$F,Dados!$C:$C,$A16,Dados!$B:$B,D$3)</f>
        <v>0</v>
      </c>
      <c r="E16" s="4">
        <f>SUMIFS(Dados!$F:$F,Dados!$C:$C,$A16,Dados!$B:$B,E$3)</f>
        <v>0</v>
      </c>
      <c r="F16" s="4">
        <f>SUMIFS(Dados!$F:$F,Dados!$C:$C,$A16,Dados!$B:$B,F$3)</f>
        <v>0</v>
      </c>
      <c r="G16" s="4">
        <f>SUMIFS(Dados!$F:$F,Dados!$C:$C,$A16,Dados!$B:$B,G$3)</f>
        <v>0</v>
      </c>
      <c r="H16" s="4">
        <f>SUMIFS(Dados!$F:$F,Dados!$C:$C,$A16,Dados!$B:$B,H$3)</f>
        <v>0</v>
      </c>
      <c r="I16" s="4">
        <f>SUMIFS(Dados!$F:$F,Dados!$C:$C,$A16,Dados!$B:$B,I$3)</f>
        <v>0</v>
      </c>
      <c r="J16" s="4">
        <f>SUMIFS(Dados!$F:$F,Dados!$C:$C,$A16,Dados!$B:$B,J$3)</f>
        <v>0</v>
      </c>
      <c r="K16" s="4">
        <f>SUMIFS(Dados!$F:$F,Dados!$C:$C,$A16,Dados!$B:$B,K$3)</f>
        <v>0</v>
      </c>
      <c r="L16" s="4">
        <f>SUMIFS(Dados!$F:$F,Dados!$C:$C,$A16,Dados!$B:$B,L$3)</f>
        <v>0</v>
      </c>
      <c r="M16" s="4">
        <f>SUMIFS(Dados!$F:$F,Dados!$C:$C,$A16,Dados!$B:$B,M$3)</f>
        <v>0</v>
      </c>
      <c r="N16" s="27">
        <f t="shared" si="3"/>
        <v>0</v>
      </c>
    </row>
    <row r="17" spans="1:14" x14ac:dyDescent="0.25">
      <c r="A17" t="s">
        <v>40</v>
      </c>
      <c r="B17" s="4">
        <f>SUMIFS(Dados!$F:$F,Dados!$C:$C,$A17,Dados!$B:$B,B$3)</f>
        <v>0</v>
      </c>
      <c r="C17" s="4">
        <f>SUMIFS(Dados!$F:$F,Dados!$C:$C,$A17,Dados!$B:$B,C$3)</f>
        <v>0</v>
      </c>
      <c r="D17" s="4">
        <f>SUMIFS(Dados!$F:$F,Dados!$C:$C,$A17,Dados!$B:$B,D$3)</f>
        <v>0</v>
      </c>
      <c r="E17" s="4">
        <f>SUMIFS(Dados!$F:$F,Dados!$C:$C,$A17,Dados!$B:$B,E$3)</f>
        <v>0</v>
      </c>
      <c r="F17" s="4">
        <f>SUMIFS(Dados!$F:$F,Dados!$C:$C,$A17,Dados!$B:$B,F$3)</f>
        <v>0</v>
      </c>
      <c r="G17" s="4">
        <f>SUMIFS(Dados!$F:$F,Dados!$C:$C,$A17,Dados!$B:$B,G$3)</f>
        <v>0</v>
      </c>
      <c r="H17" s="4">
        <f>SUMIFS(Dados!$F:$F,Dados!$C:$C,$A17,Dados!$B:$B,H$3)</f>
        <v>0</v>
      </c>
      <c r="I17" s="4">
        <f>SUMIFS(Dados!$F:$F,Dados!$C:$C,$A17,Dados!$B:$B,I$3)</f>
        <v>0</v>
      </c>
      <c r="J17" s="4">
        <f>SUMIFS(Dados!$F:$F,Dados!$C:$C,$A17,Dados!$B:$B,J$3)</f>
        <v>0</v>
      </c>
      <c r="K17" s="4">
        <f>SUMIFS(Dados!$F:$F,Dados!$C:$C,$A17,Dados!$B:$B,K$3)</f>
        <v>0</v>
      </c>
      <c r="L17" s="4">
        <f>SUMIFS(Dados!$F:$F,Dados!$C:$C,$A17,Dados!$B:$B,L$3)</f>
        <v>0</v>
      </c>
      <c r="M17" s="4">
        <f>SUMIFS(Dados!$F:$F,Dados!$C:$C,$A17,Dados!$B:$B,M$3)</f>
        <v>0</v>
      </c>
      <c r="N17" s="27">
        <f t="shared" si="3"/>
        <v>0</v>
      </c>
    </row>
    <row r="18" spans="1:14" x14ac:dyDescent="0.25">
      <c r="A18" t="s">
        <v>41</v>
      </c>
      <c r="B18" s="4">
        <f>SUMIFS(Dados!$F:$F,Dados!$C:$C,$A18,Dados!$B:$B,B$3)</f>
        <v>0</v>
      </c>
      <c r="C18" s="4">
        <f>SUMIFS(Dados!$F:$F,Dados!$C:$C,$A18,Dados!$B:$B,C$3)</f>
        <v>0</v>
      </c>
      <c r="D18" s="4">
        <f>SUMIFS(Dados!$F:$F,Dados!$C:$C,$A18,Dados!$B:$B,D$3)</f>
        <v>0</v>
      </c>
      <c r="E18" s="4">
        <f>SUMIFS(Dados!$F:$F,Dados!$C:$C,$A18,Dados!$B:$B,E$3)</f>
        <v>0</v>
      </c>
      <c r="F18" s="4">
        <f>SUMIFS(Dados!$F:$F,Dados!$C:$C,$A18,Dados!$B:$B,F$3)</f>
        <v>0</v>
      </c>
      <c r="G18" s="4">
        <f>SUMIFS(Dados!$F:$F,Dados!$C:$C,$A18,Dados!$B:$B,G$3)</f>
        <v>0</v>
      </c>
      <c r="H18" s="4">
        <f>SUMIFS(Dados!$F:$F,Dados!$C:$C,$A18,Dados!$B:$B,H$3)</f>
        <v>0</v>
      </c>
      <c r="I18" s="4">
        <f>SUMIFS(Dados!$F:$F,Dados!$C:$C,$A18,Dados!$B:$B,I$3)</f>
        <v>0</v>
      </c>
      <c r="J18" s="4">
        <f>SUMIFS(Dados!$F:$F,Dados!$C:$C,$A18,Dados!$B:$B,J$3)</f>
        <v>0</v>
      </c>
      <c r="K18" s="4">
        <f>SUMIFS(Dados!$F:$F,Dados!$C:$C,$A18,Dados!$B:$B,K$3)</f>
        <v>0</v>
      </c>
      <c r="L18" s="4">
        <f>SUMIFS(Dados!$F:$F,Dados!$C:$C,$A18,Dados!$B:$B,L$3)</f>
        <v>0</v>
      </c>
      <c r="M18" s="4">
        <f>SUMIFS(Dados!$F:$F,Dados!$C:$C,$A18,Dados!$B:$B,M$3)</f>
        <v>0</v>
      </c>
      <c r="N18" s="27">
        <f t="shared" si="3"/>
        <v>0</v>
      </c>
    </row>
    <row r="19" spans="1:14" x14ac:dyDescent="0.25">
      <c r="A19" t="s">
        <v>42</v>
      </c>
      <c r="B19" s="4">
        <f>SUMIFS(Dados!$F:$F,Dados!$C:$C,$A19,Dados!$B:$B,B$3)</f>
        <v>0</v>
      </c>
      <c r="C19" s="4">
        <f>SUMIFS(Dados!$F:$F,Dados!$C:$C,$A19,Dados!$B:$B,C$3)</f>
        <v>0</v>
      </c>
      <c r="D19" s="4">
        <f>SUMIFS(Dados!$F:$F,Dados!$C:$C,$A19,Dados!$B:$B,D$3)</f>
        <v>0</v>
      </c>
      <c r="E19" s="4">
        <f>SUMIFS(Dados!$F:$F,Dados!$C:$C,$A19,Dados!$B:$B,E$3)</f>
        <v>0</v>
      </c>
      <c r="F19" s="4">
        <f>SUMIFS(Dados!$F:$F,Dados!$C:$C,$A19,Dados!$B:$B,F$3)</f>
        <v>0</v>
      </c>
      <c r="G19" s="4">
        <f>SUMIFS(Dados!$F:$F,Dados!$C:$C,$A19,Dados!$B:$B,G$3)</f>
        <v>0</v>
      </c>
      <c r="H19" s="4">
        <f>SUMIFS(Dados!$F:$F,Dados!$C:$C,$A19,Dados!$B:$B,H$3)</f>
        <v>0</v>
      </c>
      <c r="I19" s="4">
        <f>SUMIFS(Dados!$F:$F,Dados!$C:$C,$A19,Dados!$B:$B,I$3)</f>
        <v>0</v>
      </c>
      <c r="J19" s="4">
        <f>SUMIFS(Dados!$F:$F,Dados!$C:$C,$A19,Dados!$B:$B,J$3)</f>
        <v>0</v>
      </c>
      <c r="K19" s="4">
        <f>SUMIFS(Dados!$F:$F,Dados!$C:$C,$A19,Dados!$B:$B,K$3)</f>
        <v>0</v>
      </c>
      <c r="L19" s="4">
        <f>SUMIFS(Dados!$F:$F,Dados!$C:$C,$A19,Dados!$B:$B,L$3)</f>
        <v>0</v>
      </c>
      <c r="M19" s="4">
        <f>SUMIFS(Dados!$F:$F,Dados!$C:$C,$A19,Dados!$B:$B,M$3)</f>
        <v>0</v>
      </c>
      <c r="N19" s="27">
        <f>SUM(B19:M19)</f>
        <v>0</v>
      </c>
    </row>
    <row r="20" spans="1:14" x14ac:dyDescent="0.25"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27"/>
    </row>
    <row r="21" spans="1:14" x14ac:dyDescent="0.25">
      <c r="A21" s="13" t="s">
        <v>54</v>
      </c>
      <c r="B21" s="29">
        <f>B9-B17</f>
        <v>0</v>
      </c>
      <c r="C21" s="29">
        <f t="shared" ref="C21:M21" si="4">C9-C17</f>
        <v>0</v>
      </c>
      <c r="D21" s="29">
        <f t="shared" si="4"/>
        <v>0</v>
      </c>
      <c r="E21" s="29">
        <f t="shared" si="4"/>
        <v>0</v>
      </c>
      <c r="F21" s="29">
        <f t="shared" si="4"/>
        <v>0</v>
      </c>
      <c r="G21" s="29">
        <f t="shared" si="4"/>
        <v>0</v>
      </c>
      <c r="H21" s="29">
        <f t="shared" si="4"/>
        <v>0</v>
      </c>
      <c r="I21" s="29">
        <f t="shared" si="4"/>
        <v>0</v>
      </c>
      <c r="J21" s="29">
        <f t="shared" si="4"/>
        <v>0</v>
      </c>
      <c r="K21" s="29">
        <f t="shared" si="4"/>
        <v>0</v>
      </c>
      <c r="L21" s="29">
        <f t="shared" si="4"/>
        <v>0</v>
      </c>
      <c r="M21" s="29">
        <f t="shared" si="4"/>
        <v>0</v>
      </c>
      <c r="N21" s="29">
        <f>SUM(B21:M21)</f>
        <v>0</v>
      </c>
    </row>
    <row r="22" spans="1:14" x14ac:dyDescent="0.25">
      <c r="A22" s="21" t="s">
        <v>63</v>
      </c>
      <c r="B22" s="30">
        <f>B21</f>
        <v>0</v>
      </c>
      <c r="C22" s="30">
        <f>B22+C21</f>
        <v>0</v>
      </c>
      <c r="D22" s="30">
        <f t="shared" ref="D22:M22" si="5">C22+D21</f>
        <v>0</v>
      </c>
      <c r="E22" s="30">
        <f t="shared" si="5"/>
        <v>0</v>
      </c>
      <c r="F22" s="30">
        <f t="shared" si="5"/>
        <v>0</v>
      </c>
      <c r="G22" s="30">
        <f t="shared" si="5"/>
        <v>0</v>
      </c>
      <c r="H22" s="30">
        <f t="shared" si="5"/>
        <v>0</v>
      </c>
      <c r="I22" s="30">
        <f t="shared" si="5"/>
        <v>0</v>
      </c>
      <c r="J22" s="30">
        <f t="shared" si="5"/>
        <v>0</v>
      </c>
      <c r="K22" s="30">
        <f t="shared" si="5"/>
        <v>0</v>
      </c>
      <c r="L22" s="30">
        <f t="shared" si="5"/>
        <v>0</v>
      </c>
      <c r="M22" s="30">
        <f t="shared" si="5"/>
        <v>0</v>
      </c>
      <c r="N22" s="30">
        <f>M22</f>
        <v>0</v>
      </c>
    </row>
    <row r="23" spans="1:14" x14ac:dyDescent="0.25">
      <c r="A23" s="12" t="s">
        <v>43</v>
      </c>
      <c r="B23" s="28">
        <f>SUM(B24:B31)</f>
        <v>0</v>
      </c>
      <c r="C23" s="28">
        <f t="shared" ref="C23:M23" si="6">SUM(C24:C31)</f>
        <v>0</v>
      </c>
      <c r="D23" s="28">
        <f t="shared" si="6"/>
        <v>0</v>
      </c>
      <c r="E23" s="28">
        <f t="shared" si="6"/>
        <v>0</v>
      </c>
      <c r="F23" s="28">
        <f t="shared" si="6"/>
        <v>0</v>
      </c>
      <c r="G23" s="28">
        <f t="shared" si="6"/>
        <v>0</v>
      </c>
      <c r="H23" s="28">
        <f t="shared" si="6"/>
        <v>0</v>
      </c>
      <c r="I23" s="28">
        <f t="shared" si="6"/>
        <v>0</v>
      </c>
      <c r="J23" s="28">
        <f t="shared" si="6"/>
        <v>0</v>
      </c>
      <c r="K23" s="28">
        <f t="shared" si="6"/>
        <v>0</v>
      </c>
      <c r="L23" s="28">
        <f t="shared" si="6"/>
        <v>0</v>
      </c>
      <c r="M23" s="28">
        <f t="shared" si="6"/>
        <v>0</v>
      </c>
      <c r="N23" s="28">
        <f>SUM(B23:M23)</f>
        <v>0</v>
      </c>
    </row>
    <row r="24" spans="1:14" x14ac:dyDescent="0.25">
      <c r="A24" t="s">
        <v>35</v>
      </c>
      <c r="B24" s="4">
        <f>SUMIFS(Dados!$F:$F,Dados!$C:$C,$A24,Dados!$B:$B,B$3)</f>
        <v>0</v>
      </c>
      <c r="C24" s="4">
        <f>SUMIFS(Dados!$F:$F,Dados!$C:$C,$A24,Dados!$B:$B,C$3)</f>
        <v>0</v>
      </c>
      <c r="D24" s="4">
        <f>SUMIFS(Dados!$F:$F,Dados!$C:$C,$A24,Dados!$B:$B,D$3)</f>
        <v>0</v>
      </c>
      <c r="E24" s="4">
        <f>SUMIFS(Dados!$F:$F,Dados!$C:$C,$A24,Dados!$B:$B,E$3)</f>
        <v>0</v>
      </c>
      <c r="F24" s="4">
        <f>SUMIFS(Dados!$F:$F,Dados!$C:$C,$A24,Dados!$B:$B,F$3)</f>
        <v>0</v>
      </c>
      <c r="G24" s="4">
        <f>SUMIFS(Dados!$F:$F,Dados!$C:$C,$A24,Dados!$B:$B,G$3)</f>
        <v>0</v>
      </c>
      <c r="H24" s="4">
        <f>SUMIFS(Dados!$F:$F,Dados!$C:$C,$A24,Dados!$B:$B,H$3)</f>
        <v>0</v>
      </c>
      <c r="I24" s="4">
        <f>SUMIFS(Dados!$F:$F,Dados!$C:$C,$A24,Dados!$B:$B,I$3)</f>
        <v>0</v>
      </c>
      <c r="J24" s="4">
        <f>SUMIFS(Dados!$F:$F,Dados!$C:$C,$A24,Dados!$B:$B,J$3)</f>
        <v>0</v>
      </c>
      <c r="K24" s="4">
        <f>SUMIFS(Dados!$F:$F,Dados!$C:$C,$A24,Dados!$B:$B,K$3)</f>
        <v>0</v>
      </c>
      <c r="L24" s="4">
        <f>SUMIFS(Dados!$F:$F,Dados!$C:$C,$A24,Dados!$B:$B,L$3)</f>
        <v>0</v>
      </c>
      <c r="M24" s="4">
        <f>SUMIFS(Dados!$F:$F,Dados!$C:$C,$A24,Dados!$B:$B,M$3)</f>
        <v>0</v>
      </c>
      <c r="N24" s="27">
        <f>SUM(B24:M24)</f>
        <v>0</v>
      </c>
    </row>
    <row r="25" spans="1:14" x14ac:dyDescent="0.25">
      <c r="A25" t="s">
        <v>36</v>
      </c>
      <c r="B25" s="4">
        <f>SUMIFS(Dados!$F:$F,Dados!$C:$C,$A25,Dados!$B:$B,B$3)</f>
        <v>0</v>
      </c>
      <c r="C25" s="4">
        <f>SUMIFS(Dados!$F:$F,Dados!$C:$C,$A25,Dados!$B:$B,C$3)</f>
        <v>0</v>
      </c>
      <c r="D25" s="4">
        <f>SUMIFS(Dados!$F:$F,Dados!$C:$C,$A25,Dados!$B:$B,D$3)</f>
        <v>0</v>
      </c>
      <c r="E25" s="4">
        <f>SUMIFS(Dados!$F:$F,Dados!$C:$C,$A25,Dados!$B:$B,E$3)</f>
        <v>0</v>
      </c>
      <c r="F25" s="4">
        <f>SUMIFS(Dados!$F:$F,Dados!$C:$C,$A25,Dados!$B:$B,F$3)</f>
        <v>0</v>
      </c>
      <c r="G25" s="4">
        <f>SUMIFS(Dados!$F:$F,Dados!$C:$C,$A25,Dados!$B:$B,G$3)</f>
        <v>0</v>
      </c>
      <c r="H25" s="4">
        <f>SUMIFS(Dados!$F:$F,Dados!$C:$C,$A25,Dados!$B:$B,H$3)</f>
        <v>0</v>
      </c>
      <c r="I25" s="4">
        <f>SUMIFS(Dados!$F:$F,Dados!$C:$C,$A25,Dados!$B:$B,I$3)</f>
        <v>0</v>
      </c>
      <c r="J25" s="4">
        <f>SUMIFS(Dados!$F:$F,Dados!$C:$C,$A25,Dados!$B:$B,J$3)</f>
        <v>0</v>
      </c>
      <c r="K25" s="4">
        <f>SUMIFS(Dados!$F:$F,Dados!$C:$C,$A25,Dados!$B:$B,K$3)</f>
        <v>0</v>
      </c>
      <c r="L25" s="4">
        <f>SUMIFS(Dados!$F:$F,Dados!$C:$C,$A25,Dados!$B:$B,L$3)</f>
        <v>0</v>
      </c>
      <c r="M25" s="4">
        <f>SUMIFS(Dados!$F:$F,Dados!$C:$C,$A25,Dados!$B:$B,M$3)</f>
        <v>0</v>
      </c>
      <c r="N25" s="27">
        <f t="shared" ref="N25:N31" si="7">SUM(B25:M25)</f>
        <v>0</v>
      </c>
    </row>
    <row r="26" spans="1:14" x14ac:dyDescent="0.25">
      <c r="A26" t="s">
        <v>39</v>
      </c>
      <c r="B26" s="4">
        <f>SUMIFS(Dados!$F:$F,Dados!$C:$C,$A26,Dados!$B:$B,B$3)</f>
        <v>0</v>
      </c>
      <c r="C26" s="4">
        <f>SUMIFS(Dados!$F:$F,Dados!$C:$C,$A26,Dados!$B:$B,C$3)</f>
        <v>0</v>
      </c>
      <c r="D26" s="4">
        <f>SUMIFS(Dados!$F:$F,Dados!$C:$C,$A26,Dados!$B:$B,D$3)</f>
        <v>0</v>
      </c>
      <c r="E26" s="4">
        <f>SUMIFS(Dados!$F:$F,Dados!$C:$C,$A26,Dados!$B:$B,E$3)</f>
        <v>0</v>
      </c>
      <c r="F26" s="4">
        <f>SUMIFS(Dados!$F:$F,Dados!$C:$C,$A26,Dados!$B:$B,F$3)</f>
        <v>0</v>
      </c>
      <c r="G26" s="4">
        <f>SUMIFS(Dados!$F:$F,Dados!$C:$C,$A26,Dados!$B:$B,G$3)</f>
        <v>0</v>
      </c>
      <c r="H26" s="4">
        <f>SUMIFS(Dados!$F:$F,Dados!$C:$C,$A26,Dados!$B:$B,H$3)</f>
        <v>0</v>
      </c>
      <c r="I26" s="4">
        <f>SUMIFS(Dados!$F:$F,Dados!$C:$C,$A26,Dados!$B:$B,I$3)</f>
        <v>0</v>
      </c>
      <c r="J26" s="4">
        <f>SUMIFS(Dados!$F:$F,Dados!$C:$C,$A26,Dados!$B:$B,J$3)</f>
        <v>0</v>
      </c>
      <c r="K26" s="4">
        <f>SUMIFS(Dados!$F:$F,Dados!$C:$C,$A26,Dados!$B:$B,K$3)</f>
        <v>0</v>
      </c>
      <c r="L26" s="4">
        <f>SUMIFS(Dados!$F:$F,Dados!$C:$C,$A26,Dados!$B:$B,L$3)</f>
        <v>0</v>
      </c>
      <c r="M26" s="4">
        <f>SUMIFS(Dados!$F:$F,Dados!$C:$C,$A26,Dados!$B:$B,M$3)</f>
        <v>0</v>
      </c>
      <c r="N26" s="27">
        <f t="shared" si="7"/>
        <v>0</v>
      </c>
    </row>
    <row r="27" spans="1:14" x14ac:dyDescent="0.25">
      <c r="A27" t="s">
        <v>44</v>
      </c>
      <c r="B27" s="4">
        <f>SUMIFS(Dados!$F:$F,Dados!$C:$C,$A27,Dados!$B:$B,B$3)</f>
        <v>0</v>
      </c>
      <c r="C27" s="4">
        <f>SUMIFS(Dados!$F:$F,Dados!$C:$C,$A27,Dados!$B:$B,C$3)</f>
        <v>0</v>
      </c>
      <c r="D27" s="4">
        <f>SUMIFS(Dados!$F:$F,Dados!$C:$C,$A27,Dados!$B:$B,D$3)</f>
        <v>0</v>
      </c>
      <c r="E27" s="4">
        <f>SUMIFS(Dados!$F:$F,Dados!$C:$C,$A27,Dados!$B:$B,E$3)</f>
        <v>0</v>
      </c>
      <c r="F27" s="4">
        <f>SUMIFS(Dados!$F:$F,Dados!$C:$C,$A27,Dados!$B:$B,F$3)</f>
        <v>0</v>
      </c>
      <c r="G27" s="4">
        <f>SUMIFS(Dados!$F:$F,Dados!$C:$C,$A27,Dados!$B:$B,G$3)</f>
        <v>0</v>
      </c>
      <c r="H27" s="4">
        <f>SUMIFS(Dados!$F:$F,Dados!$C:$C,$A27,Dados!$B:$B,H$3)</f>
        <v>0</v>
      </c>
      <c r="I27" s="4">
        <f>SUMIFS(Dados!$F:$F,Dados!$C:$C,$A27,Dados!$B:$B,I$3)</f>
        <v>0</v>
      </c>
      <c r="J27" s="4">
        <f>SUMIFS(Dados!$F:$F,Dados!$C:$C,$A27,Dados!$B:$B,J$3)</f>
        <v>0</v>
      </c>
      <c r="K27" s="4">
        <f>SUMIFS(Dados!$F:$F,Dados!$C:$C,$A27,Dados!$B:$B,K$3)</f>
        <v>0</v>
      </c>
      <c r="L27" s="4">
        <f>SUMIFS(Dados!$F:$F,Dados!$C:$C,$A27,Dados!$B:$B,L$3)</f>
        <v>0</v>
      </c>
      <c r="M27" s="4">
        <f>SUMIFS(Dados!$F:$F,Dados!$C:$C,$A27,Dados!$B:$B,M$3)</f>
        <v>0</v>
      </c>
      <c r="N27" s="27">
        <f t="shared" si="7"/>
        <v>0</v>
      </c>
    </row>
    <row r="28" spans="1:14" x14ac:dyDescent="0.25">
      <c r="A28" t="s">
        <v>45</v>
      </c>
      <c r="B28" s="4">
        <f>SUMIFS(Dados!$F:$F,Dados!$C:$C,$A28,Dados!$B:$B,B$3)</f>
        <v>0</v>
      </c>
      <c r="C28" s="4">
        <f>SUMIFS(Dados!$F:$F,Dados!$C:$C,$A28,Dados!$B:$B,C$3)</f>
        <v>0</v>
      </c>
      <c r="D28" s="4">
        <f>SUMIFS(Dados!$F:$F,Dados!$C:$C,$A28,Dados!$B:$B,D$3)</f>
        <v>0</v>
      </c>
      <c r="E28" s="4">
        <f>SUMIFS(Dados!$F:$F,Dados!$C:$C,$A28,Dados!$B:$B,E$3)</f>
        <v>0</v>
      </c>
      <c r="F28" s="4">
        <f>SUMIFS(Dados!$F:$F,Dados!$C:$C,$A28,Dados!$B:$B,F$3)</f>
        <v>0</v>
      </c>
      <c r="G28" s="4">
        <f>SUMIFS(Dados!$F:$F,Dados!$C:$C,$A28,Dados!$B:$B,G$3)</f>
        <v>0</v>
      </c>
      <c r="H28" s="4">
        <f>SUMIFS(Dados!$F:$F,Dados!$C:$C,$A28,Dados!$B:$B,H$3)</f>
        <v>0</v>
      </c>
      <c r="I28" s="4">
        <f>SUMIFS(Dados!$F:$F,Dados!$C:$C,$A28,Dados!$B:$B,I$3)</f>
        <v>0</v>
      </c>
      <c r="J28" s="4">
        <f>SUMIFS(Dados!$F:$F,Dados!$C:$C,$A28,Dados!$B:$B,J$3)</f>
        <v>0</v>
      </c>
      <c r="K28" s="4">
        <f>SUMIFS(Dados!$F:$F,Dados!$C:$C,$A28,Dados!$B:$B,K$3)</f>
        <v>0</v>
      </c>
      <c r="L28" s="4">
        <f>SUMIFS(Dados!$F:$F,Dados!$C:$C,$A28,Dados!$B:$B,L$3)</f>
        <v>0</v>
      </c>
      <c r="M28" s="4">
        <f>SUMIFS(Dados!$F:$F,Dados!$C:$C,$A28,Dados!$B:$B,M$3)</f>
        <v>0</v>
      </c>
      <c r="N28" s="27">
        <f t="shared" si="7"/>
        <v>0</v>
      </c>
    </row>
    <row r="29" spans="1:14" x14ac:dyDescent="0.25">
      <c r="A29" t="s">
        <v>46</v>
      </c>
      <c r="B29" s="4">
        <f>SUMIFS(Dados!$F:$F,Dados!$C:$C,$A29,Dados!$B:$B,B$3)</f>
        <v>0</v>
      </c>
      <c r="C29" s="4">
        <f>SUMIFS(Dados!$F:$F,Dados!$C:$C,$A29,Dados!$B:$B,C$3)</f>
        <v>0</v>
      </c>
      <c r="D29" s="4">
        <f>SUMIFS(Dados!$F:$F,Dados!$C:$C,$A29,Dados!$B:$B,D$3)</f>
        <v>0</v>
      </c>
      <c r="E29" s="4">
        <f>SUMIFS(Dados!$F:$F,Dados!$C:$C,$A29,Dados!$B:$B,E$3)</f>
        <v>0</v>
      </c>
      <c r="F29" s="4">
        <f>SUMIFS(Dados!$F:$F,Dados!$C:$C,$A29,Dados!$B:$B,F$3)</f>
        <v>0</v>
      </c>
      <c r="G29" s="4">
        <f>SUMIFS(Dados!$F:$F,Dados!$C:$C,$A29,Dados!$B:$B,G$3)</f>
        <v>0</v>
      </c>
      <c r="H29" s="4">
        <f>SUMIFS(Dados!$F:$F,Dados!$C:$C,$A29,Dados!$B:$B,H$3)</f>
        <v>0</v>
      </c>
      <c r="I29" s="4">
        <f>SUMIFS(Dados!$F:$F,Dados!$C:$C,$A29,Dados!$B:$B,I$3)</f>
        <v>0</v>
      </c>
      <c r="J29" s="4">
        <f>SUMIFS(Dados!$F:$F,Dados!$C:$C,$A29,Dados!$B:$B,J$3)</f>
        <v>0</v>
      </c>
      <c r="K29" s="4">
        <f>SUMIFS(Dados!$F:$F,Dados!$C:$C,$A29,Dados!$B:$B,K$3)</f>
        <v>0</v>
      </c>
      <c r="L29" s="4">
        <f>SUMIFS(Dados!$F:$F,Dados!$C:$C,$A29,Dados!$B:$B,L$3)</f>
        <v>0</v>
      </c>
      <c r="M29" s="4">
        <f>SUMIFS(Dados!$F:$F,Dados!$C:$C,$A29,Dados!$B:$B,M$3)</f>
        <v>0</v>
      </c>
      <c r="N29" s="27">
        <f t="shared" si="7"/>
        <v>0</v>
      </c>
    </row>
    <row r="30" spans="1:14" x14ac:dyDescent="0.25">
      <c r="A30" t="s">
        <v>47</v>
      </c>
      <c r="B30" s="4">
        <f>SUMIFS(Dados!$F:$F,Dados!$C:$C,$A30,Dados!$B:$B,B$3)</f>
        <v>0</v>
      </c>
      <c r="C30" s="4">
        <f>SUMIFS(Dados!$F:$F,Dados!$C:$C,$A30,Dados!$B:$B,C$3)</f>
        <v>0</v>
      </c>
      <c r="D30" s="4">
        <f>SUMIFS(Dados!$F:$F,Dados!$C:$C,$A30,Dados!$B:$B,D$3)</f>
        <v>0</v>
      </c>
      <c r="E30" s="4">
        <f>SUMIFS(Dados!$F:$F,Dados!$C:$C,$A30,Dados!$B:$B,E$3)</f>
        <v>0</v>
      </c>
      <c r="F30" s="4">
        <f>SUMIFS(Dados!$F:$F,Dados!$C:$C,$A30,Dados!$B:$B,F$3)</f>
        <v>0</v>
      </c>
      <c r="G30" s="4">
        <f>SUMIFS(Dados!$F:$F,Dados!$C:$C,$A30,Dados!$B:$B,G$3)</f>
        <v>0</v>
      </c>
      <c r="H30" s="4">
        <f>SUMIFS(Dados!$F:$F,Dados!$C:$C,$A30,Dados!$B:$B,H$3)</f>
        <v>0</v>
      </c>
      <c r="I30" s="4">
        <f>SUMIFS(Dados!$F:$F,Dados!$C:$C,$A30,Dados!$B:$B,I$3)</f>
        <v>0</v>
      </c>
      <c r="J30" s="4">
        <f>SUMIFS(Dados!$F:$F,Dados!$C:$C,$A30,Dados!$B:$B,J$3)</f>
        <v>0</v>
      </c>
      <c r="K30" s="4">
        <f>SUMIFS(Dados!$F:$F,Dados!$C:$C,$A30,Dados!$B:$B,K$3)</f>
        <v>0</v>
      </c>
      <c r="L30" s="4">
        <f>SUMIFS(Dados!$F:$F,Dados!$C:$C,$A30,Dados!$B:$B,L$3)</f>
        <v>0</v>
      </c>
      <c r="M30" s="4">
        <f>SUMIFS(Dados!$F:$F,Dados!$C:$C,$A30,Dados!$B:$B,M$3)</f>
        <v>0</v>
      </c>
      <c r="N30" s="27">
        <f t="shared" si="7"/>
        <v>0</v>
      </c>
    </row>
    <row r="31" spans="1:14" x14ac:dyDescent="0.25">
      <c r="A31" t="s">
        <v>52</v>
      </c>
      <c r="B31" s="4">
        <f>SUMIFS(Dados!$F:$F,Dados!$C:$C,$A31,Dados!$B:$B,B$3)</f>
        <v>0</v>
      </c>
      <c r="C31" s="4">
        <f>SUMIFS(Dados!$F:$F,Dados!$C:$C,$A31,Dados!$B:$B,C$3)</f>
        <v>0</v>
      </c>
      <c r="D31" s="4">
        <f>SUMIFS(Dados!$F:$F,Dados!$C:$C,$A31,Dados!$B:$B,D$3)</f>
        <v>0</v>
      </c>
      <c r="E31" s="4">
        <f>SUMIFS(Dados!$F:$F,Dados!$C:$C,$A31,Dados!$B:$B,E$3)</f>
        <v>0</v>
      </c>
      <c r="F31" s="4">
        <f>SUMIFS(Dados!$F:$F,Dados!$C:$C,$A31,Dados!$B:$B,F$3)</f>
        <v>0</v>
      </c>
      <c r="G31" s="4">
        <f>SUMIFS(Dados!$F:$F,Dados!$C:$C,$A31,Dados!$B:$B,G$3)</f>
        <v>0</v>
      </c>
      <c r="H31" s="4">
        <f>SUMIFS(Dados!$F:$F,Dados!$C:$C,$A31,Dados!$B:$B,H$3)</f>
        <v>0</v>
      </c>
      <c r="I31" s="4">
        <f>SUMIFS(Dados!$F:$F,Dados!$C:$C,$A31,Dados!$B:$B,I$3)</f>
        <v>0</v>
      </c>
      <c r="J31" s="4">
        <f>SUMIFS(Dados!$F:$F,Dados!$C:$C,$A31,Dados!$B:$B,J$3)</f>
        <v>0</v>
      </c>
      <c r="K31" s="4">
        <f>SUMIFS(Dados!$F:$F,Dados!$C:$C,$A31,Dados!$B:$B,K$3)</f>
        <v>0</v>
      </c>
      <c r="L31" s="4">
        <f>SUMIFS(Dados!$F:$F,Dados!$C:$C,$A31,Dados!$B:$B,L$3)</f>
        <v>0</v>
      </c>
      <c r="M31" s="4">
        <f>SUMIFS(Dados!$F:$F,Dados!$C:$C,$A31,Dados!$B:$B,M$3)</f>
        <v>0</v>
      </c>
      <c r="N31" s="27">
        <f t="shared" si="7"/>
        <v>0</v>
      </c>
    </row>
    <row r="32" spans="1:14" x14ac:dyDescent="0.25"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</row>
    <row r="33" spans="1:14" x14ac:dyDescent="0.25">
      <c r="A33" s="12" t="s">
        <v>66</v>
      </c>
      <c r="B33" s="28">
        <f>SUM(B34:B37)</f>
        <v>0</v>
      </c>
      <c r="C33" s="28">
        <f t="shared" ref="C33:M33" si="8">SUM(C34:C37)</f>
        <v>0</v>
      </c>
      <c r="D33" s="28">
        <f t="shared" si="8"/>
        <v>0</v>
      </c>
      <c r="E33" s="28">
        <f t="shared" si="8"/>
        <v>0</v>
      </c>
      <c r="F33" s="28">
        <f t="shared" si="8"/>
        <v>0</v>
      </c>
      <c r="G33" s="28">
        <f t="shared" si="8"/>
        <v>0</v>
      </c>
      <c r="H33" s="28">
        <f t="shared" si="8"/>
        <v>0</v>
      </c>
      <c r="I33" s="28">
        <f t="shared" si="8"/>
        <v>0</v>
      </c>
      <c r="J33" s="28">
        <f t="shared" si="8"/>
        <v>0</v>
      </c>
      <c r="K33" s="28">
        <f t="shared" si="8"/>
        <v>0</v>
      </c>
      <c r="L33" s="28">
        <f t="shared" si="8"/>
        <v>0</v>
      </c>
      <c r="M33" s="28">
        <f t="shared" si="8"/>
        <v>0</v>
      </c>
      <c r="N33" s="28">
        <f>SUM(B33:M33)</f>
        <v>0</v>
      </c>
    </row>
    <row r="34" spans="1:14" x14ac:dyDescent="0.25">
      <c r="A34" t="s">
        <v>48</v>
      </c>
      <c r="B34" s="4">
        <f>SUMIFS(Dados!$F:$F,Dados!$C:$C,$A34,Dados!$B:$B,B$3)</f>
        <v>0</v>
      </c>
      <c r="C34" s="4">
        <f>SUMIFS(Dados!$F:$F,Dados!$C:$C,$A34,Dados!$B:$B,C$3)</f>
        <v>0</v>
      </c>
      <c r="D34" s="4">
        <f>SUMIFS(Dados!$F:$F,Dados!$C:$C,$A34,Dados!$B:$B,D$3)</f>
        <v>0</v>
      </c>
      <c r="E34" s="4">
        <f>SUMIFS(Dados!$F:$F,Dados!$C:$C,$A34,Dados!$B:$B,E$3)</f>
        <v>0</v>
      </c>
      <c r="F34" s="4">
        <f>SUMIFS(Dados!$F:$F,Dados!$C:$C,$A34,Dados!$B:$B,F$3)</f>
        <v>0</v>
      </c>
      <c r="G34" s="4">
        <f>SUMIFS(Dados!$F:$F,Dados!$C:$C,$A34,Dados!$B:$B,G$3)</f>
        <v>0</v>
      </c>
      <c r="H34" s="4">
        <f>SUMIFS(Dados!$F:$F,Dados!$C:$C,$A34,Dados!$B:$B,H$3)</f>
        <v>0</v>
      </c>
      <c r="I34" s="4">
        <f>SUMIFS(Dados!$F:$F,Dados!$C:$C,$A34,Dados!$B:$B,I$3)</f>
        <v>0</v>
      </c>
      <c r="J34" s="4">
        <f>SUMIFS(Dados!$F:$F,Dados!$C:$C,$A34,Dados!$B:$B,J$3)</f>
        <v>0</v>
      </c>
      <c r="K34" s="4">
        <f>SUMIFS(Dados!$F:$F,Dados!$C:$C,$A34,Dados!$B:$B,K$3)</f>
        <v>0</v>
      </c>
      <c r="L34" s="4">
        <f>SUMIFS(Dados!$F:$F,Dados!$C:$C,$A34,Dados!$B:$B,L$3)</f>
        <v>0</v>
      </c>
      <c r="M34" s="4">
        <f>SUMIFS(Dados!$F:$F,Dados!$C:$C,$A34,Dados!$B:$B,M$3)</f>
        <v>0</v>
      </c>
      <c r="N34" s="27">
        <f>SUM(B34:M34)</f>
        <v>0</v>
      </c>
    </row>
    <row r="35" spans="1:14" x14ac:dyDescent="0.25">
      <c r="A35" t="s">
        <v>49</v>
      </c>
      <c r="B35" s="4">
        <f>SUMIFS(Dados!$F:$F,Dados!$C:$C,$A35,Dados!$B:$B,B$3)</f>
        <v>0</v>
      </c>
      <c r="C35" s="4">
        <f>SUMIFS(Dados!$F:$F,Dados!$C:$C,$A35,Dados!$B:$B,C$3)</f>
        <v>0</v>
      </c>
      <c r="D35" s="4">
        <f>SUMIFS(Dados!$F:$F,Dados!$C:$C,$A35,Dados!$B:$B,D$3)</f>
        <v>0</v>
      </c>
      <c r="E35" s="4">
        <f>SUMIFS(Dados!$F:$F,Dados!$C:$C,$A35,Dados!$B:$B,E$3)</f>
        <v>0</v>
      </c>
      <c r="F35" s="4">
        <f>SUMIFS(Dados!$F:$F,Dados!$C:$C,$A35,Dados!$B:$B,F$3)</f>
        <v>0</v>
      </c>
      <c r="G35" s="4">
        <f>SUMIFS(Dados!$F:$F,Dados!$C:$C,$A35,Dados!$B:$B,G$3)</f>
        <v>0</v>
      </c>
      <c r="H35" s="4">
        <f>SUMIFS(Dados!$F:$F,Dados!$C:$C,$A35,Dados!$B:$B,H$3)</f>
        <v>0</v>
      </c>
      <c r="I35" s="4">
        <f>SUMIFS(Dados!$F:$F,Dados!$C:$C,$A35,Dados!$B:$B,I$3)</f>
        <v>0</v>
      </c>
      <c r="J35" s="4">
        <f>SUMIFS(Dados!$F:$F,Dados!$C:$C,$A35,Dados!$B:$B,J$3)</f>
        <v>0</v>
      </c>
      <c r="K35" s="4">
        <f>SUMIFS(Dados!$F:$F,Dados!$C:$C,$A35,Dados!$B:$B,K$3)</f>
        <v>0</v>
      </c>
      <c r="L35" s="4">
        <f>SUMIFS(Dados!$F:$F,Dados!$C:$C,$A35,Dados!$B:$B,L$3)</f>
        <v>0</v>
      </c>
      <c r="M35" s="4">
        <f>SUMIFS(Dados!$F:$F,Dados!$C:$C,$A35,Dados!$B:$B,M$3)</f>
        <v>0</v>
      </c>
      <c r="N35" s="27">
        <f t="shared" ref="N35:N37" si="9">SUM(B35:M35)</f>
        <v>0</v>
      </c>
    </row>
    <row r="36" spans="1:14" x14ac:dyDescent="0.25">
      <c r="A36" t="s">
        <v>50</v>
      </c>
      <c r="B36" s="4">
        <f>SUMIFS(Dados!$F:$F,Dados!$C:$C,$A36,Dados!$B:$B,B$3)</f>
        <v>0</v>
      </c>
      <c r="C36" s="4">
        <f>SUMIFS(Dados!$F:$F,Dados!$C:$C,$A36,Dados!$B:$B,C$3)</f>
        <v>0</v>
      </c>
      <c r="D36" s="4">
        <f>SUMIFS(Dados!$F:$F,Dados!$C:$C,$A36,Dados!$B:$B,D$3)</f>
        <v>0</v>
      </c>
      <c r="E36" s="4">
        <f>SUMIFS(Dados!$F:$F,Dados!$C:$C,$A36,Dados!$B:$B,E$3)</f>
        <v>0</v>
      </c>
      <c r="F36" s="4">
        <f>SUMIFS(Dados!$F:$F,Dados!$C:$C,$A36,Dados!$B:$B,F$3)</f>
        <v>0</v>
      </c>
      <c r="G36" s="4">
        <f>SUMIFS(Dados!$F:$F,Dados!$C:$C,$A36,Dados!$B:$B,G$3)</f>
        <v>0</v>
      </c>
      <c r="H36" s="4">
        <f>SUMIFS(Dados!$F:$F,Dados!$C:$C,$A36,Dados!$B:$B,H$3)</f>
        <v>0</v>
      </c>
      <c r="I36" s="4">
        <f>SUMIFS(Dados!$F:$F,Dados!$C:$C,$A36,Dados!$B:$B,I$3)</f>
        <v>0</v>
      </c>
      <c r="J36" s="4">
        <f>SUMIFS(Dados!$F:$F,Dados!$C:$C,$A36,Dados!$B:$B,J$3)</f>
        <v>0</v>
      </c>
      <c r="K36" s="4">
        <f>SUMIFS(Dados!$F:$F,Dados!$C:$C,$A36,Dados!$B:$B,K$3)</f>
        <v>0</v>
      </c>
      <c r="L36" s="4">
        <f>SUMIFS(Dados!$F:$F,Dados!$C:$C,$A36,Dados!$B:$B,L$3)</f>
        <v>0</v>
      </c>
      <c r="M36" s="4">
        <f>SUMIFS(Dados!$F:$F,Dados!$C:$C,$A36,Dados!$B:$B,M$3)</f>
        <v>0</v>
      </c>
      <c r="N36" s="27">
        <f t="shared" si="9"/>
        <v>0</v>
      </c>
    </row>
    <row r="37" spans="1:14" x14ac:dyDescent="0.25">
      <c r="A37" t="s">
        <v>51</v>
      </c>
      <c r="B37" s="4">
        <f>SUMIFS(Dados!$F:$F,Dados!$C:$C,$A37,Dados!$B:$B,B$3)</f>
        <v>0</v>
      </c>
      <c r="C37" s="4">
        <f>SUMIFS(Dados!$F:$F,Dados!$C:$C,$A37,Dados!$B:$B,C$3)</f>
        <v>0</v>
      </c>
      <c r="D37" s="4">
        <f>SUMIFS(Dados!$F:$F,Dados!$C:$C,$A37,Dados!$B:$B,D$3)</f>
        <v>0</v>
      </c>
      <c r="E37" s="4">
        <f>SUMIFS(Dados!$F:$F,Dados!$C:$C,$A37,Dados!$B:$B,E$3)</f>
        <v>0</v>
      </c>
      <c r="F37" s="4">
        <f>SUMIFS(Dados!$F:$F,Dados!$C:$C,$A37,Dados!$B:$B,F$3)</f>
        <v>0</v>
      </c>
      <c r="G37" s="4">
        <f>SUMIFS(Dados!$F:$F,Dados!$C:$C,$A37,Dados!$B:$B,G$3)</f>
        <v>0</v>
      </c>
      <c r="H37" s="4">
        <f>SUMIFS(Dados!$F:$F,Dados!$C:$C,$A37,Dados!$B:$B,H$3)</f>
        <v>0</v>
      </c>
      <c r="I37" s="4">
        <f>SUMIFS(Dados!$F:$F,Dados!$C:$C,$A37,Dados!$B:$B,I$3)</f>
        <v>0</v>
      </c>
      <c r="J37" s="4">
        <f>SUMIFS(Dados!$F:$F,Dados!$C:$C,$A37,Dados!$B:$B,J$3)</f>
        <v>0</v>
      </c>
      <c r="K37" s="4">
        <f>SUMIFS(Dados!$F:$F,Dados!$C:$C,$A37,Dados!$B:$B,K$3)</f>
        <v>0</v>
      </c>
      <c r="L37" s="4">
        <f>SUMIFS(Dados!$F:$F,Dados!$C:$C,$A37,Dados!$B:$B,L$3)</f>
        <v>0</v>
      </c>
      <c r="M37" s="4">
        <f>SUMIFS(Dados!$F:$F,Dados!$C:$C,$A37,Dados!$B:$B,M$3)</f>
        <v>0</v>
      </c>
      <c r="N37" s="27">
        <f t="shared" si="9"/>
        <v>0</v>
      </c>
    </row>
    <row r="40" spans="1:14" x14ac:dyDescent="0.25">
      <c r="A40" s="15" t="s">
        <v>30</v>
      </c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</row>
    <row r="41" spans="1:14" x14ac:dyDescent="0.25">
      <c r="A41" s="17" t="s">
        <v>56</v>
      </c>
      <c r="B41" s="4">
        <f>B4</f>
        <v>0</v>
      </c>
      <c r="C41" s="4">
        <f t="shared" ref="C41:M41" si="10">C4</f>
        <v>0</v>
      </c>
      <c r="D41" s="4">
        <f t="shared" si="10"/>
        <v>0</v>
      </c>
      <c r="E41" s="4">
        <f t="shared" si="10"/>
        <v>0</v>
      </c>
      <c r="F41" s="4">
        <f t="shared" si="10"/>
        <v>0</v>
      </c>
      <c r="G41" s="4">
        <f t="shared" si="10"/>
        <v>0</v>
      </c>
      <c r="H41" s="4">
        <f t="shared" si="10"/>
        <v>0</v>
      </c>
      <c r="I41" s="4">
        <f t="shared" si="10"/>
        <v>0</v>
      </c>
      <c r="J41" s="4">
        <f t="shared" si="10"/>
        <v>0</v>
      </c>
      <c r="K41" s="4">
        <f t="shared" si="10"/>
        <v>0</v>
      </c>
      <c r="L41" s="4">
        <f t="shared" si="10"/>
        <v>0</v>
      </c>
      <c r="M41" s="4">
        <f t="shared" si="10"/>
        <v>0</v>
      </c>
      <c r="N41" s="31">
        <f t="shared" ref="N41:N43" si="11">SUM(B41:M41)</f>
        <v>0</v>
      </c>
    </row>
    <row r="42" spans="1:14" x14ac:dyDescent="0.25">
      <c r="A42" s="18" t="s">
        <v>57</v>
      </c>
      <c r="B42" s="4">
        <f>SUM(B33,B23,B11)</f>
        <v>0</v>
      </c>
      <c r="C42" s="4">
        <f t="shared" ref="C42:M42" si="12">SUM(C33,C23,C11)</f>
        <v>0</v>
      </c>
      <c r="D42" s="4">
        <f t="shared" si="12"/>
        <v>0</v>
      </c>
      <c r="E42" s="4">
        <f t="shared" si="12"/>
        <v>0</v>
      </c>
      <c r="F42" s="4">
        <f t="shared" si="12"/>
        <v>0</v>
      </c>
      <c r="G42" s="4">
        <f t="shared" si="12"/>
        <v>0</v>
      </c>
      <c r="H42" s="4">
        <f t="shared" si="12"/>
        <v>0</v>
      </c>
      <c r="I42" s="4">
        <f t="shared" si="12"/>
        <v>0</v>
      </c>
      <c r="J42" s="4">
        <f t="shared" si="12"/>
        <v>0</v>
      </c>
      <c r="K42" s="4">
        <f t="shared" si="12"/>
        <v>0</v>
      </c>
      <c r="L42" s="4">
        <f t="shared" si="12"/>
        <v>0</v>
      </c>
      <c r="M42" s="4">
        <f t="shared" si="12"/>
        <v>0</v>
      </c>
      <c r="N42" s="31">
        <f t="shared" si="11"/>
        <v>0</v>
      </c>
    </row>
    <row r="43" spans="1:14" x14ac:dyDescent="0.25">
      <c r="A43" s="19" t="s">
        <v>58</v>
      </c>
      <c r="B43" s="4">
        <f>B41-B42</f>
        <v>0</v>
      </c>
      <c r="C43" s="4">
        <f t="shared" ref="C43:M43" si="13">C41-C42</f>
        <v>0</v>
      </c>
      <c r="D43" s="4">
        <f t="shared" si="13"/>
        <v>0</v>
      </c>
      <c r="E43" s="4">
        <f t="shared" si="13"/>
        <v>0</v>
      </c>
      <c r="F43" s="4">
        <f t="shared" si="13"/>
        <v>0</v>
      </c>
      <c r="G43" s="4">
        <f t="shared" si="13"/>
        <v>0</v>
      </c>
      <c r="H43" s="4">
        <f t="shared" si="13"/>
        <v>0</v>
      </c>
      <c r="I43" s="4">
        <f t="shared" si="13"/>
        <v>0</v>
      </c>
      <c r="J43" s="4">
        <f t="shared" si="13"/>
        <v>0</v>
      </c>
      <c r="K43" s="4">
        <f t="shared" si="13"/>
        <v>0</v>
      </c>
      <c r="L43" s="4">
        <f t="shared" si="13"/>
        <v>0</v>
      </c>
      <c r="M43" s="4">
        <f t="shared" si="13"/>
        <v>0</v>
      </c>
      <c r="N43" s="31">
        <f t="shared" si="11"/>
        <v>0</v>
      </c>
    </row>
    <row r="44" spans="1:14" x14ac:dyDescent="0.25">
      <c r="A44" s="20" t="s">
        <v>59</v>
      </c>
      <c r="B44" s="4">
        <f>B43</f>
        <v>0</v>
      </c>
      <c r="C44" s="4">
        <f>B44+C43</f>
        <v>0</v>
      </c>
      <c r="D44" s="4">
        <f t="shared" ref="D44:M44" si="14">C44+D43</f>
        <v>0</v>
      </c>
      <c r="E44" s="4">
        <f t="shared" si="14"/>
        <v>0</v>
      </c>
      <c r="F44" s="4">
        <f t="shared" si="14"/>
        <v>0</v>
      </c>
      <c r="G44" s="4">
        <f t="shared" si="14"/>
        <v>0</v>
      </c>
      <c r="H44" s="4">
        <f t="shared" si="14"/>
        <v>0</v>
      </c>
      <c r="I44" s="4">
        <f t="shared" si="14"/>
        <v>0</v>
      </c>
      <c r="J44" s="4">
        <f t="shared" si="14"/>
        <v>0</v>
      </c>
      <c r="K44" s="4">
        <f t="shared" si="14"/>
        <v>0</v>
      </c>
      <c r="L44" s="4">
        <f t="shared" si="14"/>
        <v>0</v>
      </c>
      <c r="M44" s="4">
        <f t="shared" si="14"/>
        <v>0</v>
      </c>
      <c r="N44" s="31">
        <f>M44</f>
        <v>0</v>
      </c>
    </row>
    <row r="47" spans="1:14" x14ac:dyDescent="0.25">
      <c r="A47" s="40" t="s">
        <v>60</v>
      </c>
      <c r="B47" s="40"/>
    </row>
    <row r="48" spans="1:14" x14ac:dyDescent="0.25">
      <c r="A48" s="14" t="s">
        <v>61</v>
      </c>
      <c r="B48" s="32">
        <f>F4</f>
        <v>0</v>
      </c>
    </row>
    <row r="49" spans="1:2" x14ac:dyDescent="0.25">
      <c r="A49" s="14" t="s">
        <v>25</v>
      </c>
      <c r="B49" s="32">
        <f>F11</f>
        <v>0</v>
      </c>
    </row>
    <row r="50" spans="1:2" x14ac:dyDescent="0.25">
      <c r="A50" s="14" t="s">
        <v>62</v>
      </c>
      <c r="B50" s="32">
        <f>F23</f>
        <v>0</v>
      </c>
    </row>
    <row r="51" spans="1:2" x14ac:dyDescent="0.25">
      <c r="A51" s="14" t="s">
        <v>66</v>
      </c>
      <c r="B51" s="32">
        <f>F33</f>
        <v>0</v>
      </c>
    </row>
    <row r="53" spans="1:2" x14ac:dyDescent="0.25">
      <c r="A53" s="40" t="s">
        <v>64</v>
      </c>
      <c r="B53" s="40"/>
    </row>
    <row r="54" spans="1:2" x14ac:dyDescent="0.25">
      <c r="A54" s="14" t="s">
        <v>56</v>
      </c>
      <c r="B54" s="32">
        <f>F41</f>
        <v>0</v>
      </c>
    </row>
    <row r="55" spans="1:2" x14ac:dyDescent="0.25">
      <c r="A55" s="14" t="s">
        <v>57</v>
      </c>
      <c r="B55" s="32">
        <f>F42</f>
        <v>0</v>
      </c>
    </row>
    <row r="56" spans="1:2" x14ac:dyDescent="0.25">
      <c r="A56" s="14" t="s">
        <v>59</v>
      </c>
      <c r="B56" s="32">
        <f>F44</f>
        <v>0</v>
      </c>
    </row>
  </sheetData>
  <mergeCells count="2">
    <mergeCell ref="A47:B47"/>
    <mergeCell ref="A53:B53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CDraw4" shapeId="9217" r:id="rId4">
          <objectPr defaultSize="0" autoFill="0" autoLine="0" autoPict="0" r:id="rId5">
            <anchor moveWithCells="1">
              <from>
                <xdr:col>0</xdr:col>
                <xdr:colOff>695325</xdr:colOff>
                <xdr:row>1</xdr:row>
                <xdr:rowOff>133350</xdr:rowOff>
              </from>
              <to>
                <xdr:col>3</xdr:col>
                <xdr:colOff>390525</xdr:colOff>
                <xdr:row>1</xdr:row>
                <xdr:rowOff>361950</xdr:rowOff>
              </to>
            </anchor>
          </objectPr>
        </oleObject>
      </mc:Choice>
      <mc:Fallback>
        <oleObject progId="CDraw4" shapeId="9217" r:id="rId4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2219B6-672F-49C4-8CCB-6B55952438D7}">
  <sheetPr codeName="Planilha3"/>
  <dimension ref="B1:U29"/>
  <sheetViews>
    <sheetView showGridLines="0" workbookViewId="0">
      <selection activeCell="E10" sqref="E10"/>
    </sheetView>
  </sheetViews>
  <sheetFormatPr defaultRowHeight="15" x14ac:dyDescent="0.25"/>
  <cols>
    <col min="2" max="2" width="13.28515625" bestFit="1" customWidth="1"/>
    <col min="3" max="3" width="12.85546875" bestFit="1" customWidth="1"/>
    <col min="4" max="4" width="10.7109375" bestFit="1" customWidth="1"/>
    <col min="5" max="5" width="14.85546875" customWidth="1"/>
    <col min="6" max="6" width="10.5703125" style="38" bestFit="1" customWidth="1"/>
    <col min="7" max="7" width="9.42578125" style="38" bestFit="1" customWidth="1"/>
    <col min="8" max="8" width="12.7109375" bestFit="1" customWidth="1"/>
    <col min="9" max="9" width="11.85546875" bestFit="1" customWidth="1"/>
  </cols>
  <sheetData>
    <row r="1" spans="2:21" x14ac:dyDescent="0.25">
      <c r="B1" s="1"/>
      <c r="C1" s="1"/>
      <c r="D1" s="1"/>
      <c r="E1" s="1"/>
      <c r="F1" s="35"/>
      <c r="G1" s="35"/>
      <c r="H1" s="1"/>
      <c r="I1" s="1"/>
      <c r="J1" s="1"/>
    </row>
    <row r="2" spans="2:21" ht="28.5" x14ac:dyDescent="0.45">
      <c r="B2" s="41" t="s">
        <v>11</v>
      </c>
      <c r="C2" s="41"/>
      <c r="D2" s="41"/>
      <c r="E2" s="41"/>
      <c r="F2" s="41"/>
      <c r="G2" s="41"/>
      <c r="H2" s="41"/>
      <c r="I2" s="41"/>
      <c r="J2" s="41"/>
      <c r="K2" s="33"/>
      <c r="L2" s="33"/>
      <c r="M2" s="33"/>
      <c r="N2" s="33"/>
      <c r="O2" s="33"/>
      <c r="P2" s="33"/>
      <c r="Q2" s="33"/>
      <c r="R2" s="33"/>
      <c r="S2" s="33"/>
      <c r="T2" s="33"/>
      <c r="U2" s="33"/>
    </row>
    <row r="3" spans="2:21" x14ac:dyDescent="0.25">
      <c r="B3" s="1"/>
      <c r="C3" s="1"/>
      <c r="D3" s="1"/>
      <c r="E3" s="1"/>
      <c r="F3" s="35"/>
      <c r="G3" s="35"/>
      <c r="H3" s="1"/>
      <c r="I3" s="1"/>
      <c r="J3" s="1"/>
    </row>
    <row r="4" spans="2:21" x14ac:dyDescent="0.25">
      <c r="B4" s="2" t="s">
        <v>16</v>
      </c>
      <c r="C4" s="2" t="s">
        <v>13</v>
      </c>
      <c r="D4" s="2" t="s">
        <v>17</v>
      </c>
      <c r="E4" s="2" t="s">
        <v>12</v>
      </c>
      <c r="F4" s="36" t="s">
        <v>15</v>
      </c>
      <c r="G4" s="36" t="s">
        <v>14</v>
      </c>
      <c r="H4" s="42"/>
      <c r="I4" s="42"/>
      <c r="J4" s="42"/>
      <c r="K4" s="2"/>
      <c r="L4" s="2"/>
      <c r="M4" s="2"/>
      <c r="N4" s="2"/>
      <c r="O4" s="2"/>
      <c r="P4" s="2"/>
      <c r="Q4" s="2"/>
      <c r="R4" s="2"/>
    </row>
    <row r="5" spans="2:21" x14ac:dyDescent="0.25">
      <c r="B5" s="34"/>
      <c r="D5" s="5"/>
      <c r="F5" s="37"/>
      <c r="G5" s="37"/>
      <c r="H5" s="42"/>
      <c r="I5" s="42"/>
      <c r="J5" s="42"/>
    </row>
    <row r="6" spans="2:21" x14ac:dyDescent="0.25">
      <c r="B6" s="34"/>
      <c r="C6" s="9"/>
      <c r="F6" s="37"/>
      <c r="G6" s="37"/>
      <c r="H6" s="42"/>
      <c r="I6" s="42"/>
      <c r="J6" s="42"/>
    </row>
    <row r="7" spans="2:21" x14ac:dyDescent="0.25">
      <c r="B7" s="34"/>
      <c r="F7" s="37"/>
      <c r="G7" s="37"/>
      <c r="H7" s="42"/>
      <c r="I7" s="42"/>
      <c r="J7" s="42"/>
    </row>
    <row r="8" spans="2:21" x14ac:dyDescent="0.25">
      <c r="B8" s="34"/>
      <c r="C8" s="9"/>
      <c r="D8" s="5"/>
      <c r="F8" s="37"/>
      <c r="G8" s="37"/>
      <c r="H8" s="42"/>
      <c r="I8" s="42"/>
      <c r="J8" s="42"/>
    </row>
    <row r="9" spans="2:21" x14ac:dyDescent="0.25">
      <c r="B9" s="34"/>
      <c r="C9" s="9"/>
      <c r="D9" s="5"/>
      <c r="F9" s="37"/>
      <c r="G9" s="37"/>
      <c r="H9" s="42"/>
      <c r="I9" s="42"/>
      <c r="J9" s="42"/>
    </row>
    <row r="10" spans="2:21" x14ac:dyDescent="0.25">
      <c r="B10" s="34"/>
      <c r="C10" s="9"/>
      <c r="D10" s="5"/>
      <c r="F10" s="37"/>
      <c r="G10" s="37"/>
      <c r="H10" s="42"/>
      <c r="I10" s="42"/>
      <c r="J10" s="42"/>
    </row>
    <row r="11" spans="2:21" x14ac:dyDescent="0.25">
      <c r="B11" s="34"/>
      <c r="C11" s="9"/>
      <c r="D11" s="5"/>
      <c r="F11" s="37"/>
      <c r="G11" s="37"/>
      <c r="H11" s="42"/>
      <c r="I11" s="42"/>
      <c r="J11" s="42"/>
    </row>
    <row r="12" spans="2:21" x14ac:dyDescent="0.25">
      <c r="B12" s="34"/>
      <c r="C12" s="9"/>
      <c r="D12" s="5"/>
      <c r="F12" s="37"/>
      <c r="G12" s="37"/>
      <c r="H12" s="42"/>
      <c r="I12" s="42"/>
      <c r="J12" s="42"/>
    </row>
    <row r="13" spans="2:21" x14ac:dyDescent="0.25">
      <c r="B13" s="34"/>
      <c r="C13" s="9"/>
      <c r="F13" s="37"/>
      <c r="G13" s="37"/>
      <c r="H13" s="42"/>
      <c r="I13" s="42"/>
      <c r="J13" s="42"/>
    </row>
    <row r="14" spans="2:21" x14ac:dyDescent="0.25">
      <c r="B14" s="34"/>
      <c r="C14" s="9"/>
      <c r="F14" s="37"/>
      <c r="G14" s="37"/>
      <c r="H14" s="42"/>
      <c r="I14" s="42"/>
      <c r="J14" s="42"/>
    </row>
    <row r="15" spans="2:21" x14ac:dyDescent="0.25">
      <c r="B15" s="34"/>
      <c r="C15" s="9"/>
      <c r="F15" s="37"/>
      <c r="G15" s="37"/>
      <c r="H15" s="42"/>
      <c r="I15" s="42"/>
      <c r="J15" s="42"/>
    </row>
    <row r="16" spans="2:21" x14ac:dyDescent="0.25">
      <c r="B16" s="34"/>
      <c r="C16" s="9"/>
      <c r="F16" s="37"/>
      <c r="G16" s="37"/>
      <c r="H16" s="42"/>
      <c r="I16" s="42"/>
      <c r="J16" s="42"/>
    </row>
    <row r="17" spans="2:10" x14ac:dyDescent="0.25">
      <c r="B17" s="34"/>
      <c r="C17" s="9"/>
      <c r="F17" s="37"/>
      <c r="G17" s="37"/>
      <c r="H17" s="42"/>
      <c r="I17" s="42"/>
      <c r="J17" s="42"/>
    </row>
    <row r="18" spans="2:10" x14ac:dyDescent="0.25">
      <c r="B18" s="34"/>
      <c r="C18" s="9"/>
      <c r="F18" s="37"/>
      <c r="G18" s="37"/>
      <c r="H18" s="42"/>
      <c r="I18" s="42"/>
      <c r="J18" s="42"/>
    </row>
    <row r="19" spans="2:10" x14ac:dyDescent="0.25">
      <c r="B19" s="34"/>
      <c r="C19" s="9"/>
      <c r="F19" s="37"/>
      <c r="G19" s="37"/>
      <c r="H19" s="42"/>
      <c r="I19" s="42"/>
      <c r="J19" s="42"/>
    </row>
    <row r="20" spans="2:10" x14ac:dyDescent="0.25">
      <c r="B20" s="34"/>
      <c r="C20" s="9"/>
      <c r="F20" s="37"/>
      <c r="G20" s="37"/>
      <c r="H20" s="42"/>
      <c r="I20" s="42"/>
      <c r="J20" s="42"/>
    </row>
    <row r="21" spans="2:10" x14ac:dyDescent="0.25">
      <c r="B21" s="34"/>
      <c r="C21" s="9"/>
      <c r="F21" s="37"/>
      <c r="G21" s="37"/>
      <c r="H21" s="42"/>
      <c r="I21" s="42"/>
      <c r="J21" s="42"/>
    </row>
    <row r="22" spans="2:10" x14ac:dyDescent="0.25">
      <c r="B22" s="34"/>
      <c r="C22" s="9"/>
      <c r="F22" s="37"/>
      <c r="G22" s="37"/>
      <c r="H22" s="42"/>
      <c r="I22" s="42"/>
      <c r="J22" s="42"/>
    </row>
    <row r="23" spans="2:10" x14ac:dyDescent="0.25">
      <c r="B23" s="34"/>
      <c r="C23" s="9"/>
      <c r="F23" s="37"/>
      <c r="G23" s="37"/>
      <c r="H23" s="42"/>
      <c r="I23" s="42"/>
      <c r="J23" s="42"/>
    </row>
    <row r="24" spans="2:10" x14ac:dyDescent="0.25">
      <c r="B24" s="34"/>
      <c r="C24" s="9"/>
      <c r="F24" s="37"/>
      <c r="G24" s="37"/>
      <c r="H24" s="42"/>
      <c r="I24" s="42"/>
      <c r="J24" s="42"/>
    </row>
    <row r="25" spans="2:10" x14ac:dyDescent="0.25">
      <c r="B25" s="34"/>
      <c r="C25" s="9"/>
      <c r="F25" s="37"/>
      <c r="G25" s="37"/>
      <c r="H25" s="42"/>
      <c r="I25" s="42"/>
      <c r="J25" s="42"/>
    </row>
    <row r="26" spans="2:10" x14ac:dyDescent="0.25">
      <c r="B26" s="34"/>
      <c r="C26" s="9"/>
      <c r="D26" s="5"/>
      <c r="F26" s="37"/>
      <c r="G26" s="37"/>
      <c r="H26" s="42"/>
      <c r="I26" s="42"/>
      <c r="J26" s="42"/>
    </row>
    <row r="27" spans="2:10" x14ac:dyDescent="0.25">
      <c r="B27" s="34"/>
      <c r="C27" s="9"/>
      <c r="D27" s="5"/>
      <c r="F27" s="37"/>
      <c r="G27" s="37"/>
      <c r="H27" s="42"/>
      <c r="I27" s="42"/>
      <c r="J27" s="42"/>
    </row>
    <row r="28" spans="2:10" x14ac:dyDescent="0.25">
      <c r="B28" s="34"/>
      <c r="C28" s="9"/>
      <c r="D28" s="5"/>
      <c r="F28" s="37"/>
      <c r="G28" s="37"/>
      <c r="H28" s="42"/>
      <c r="I28" s="42"/>
      <c r="J28" s="42"/>
    </row>
    <row r="29" spans="2:10" x14ac:dyDescent="0.25">
      <c r="H29" s="42"/>
      <c r="I29" s="42"/>
      <c r="J29" s="42"/>
    </row>
  </sheetData>
  <mergeCells count="2">
    <mergeCell ref="B2:J2"/>
    <mergeCell ref="H4:J29"/>
  </mergeCell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199A1D-36AE-4A24-BA26-3449C838E24A}">
  <sheetPr codeName="Planilha4"/>
  <dimension ref="A1"/>
  <sheetViews>
    <sheetView workbookViewId="0">
      <selection activeCell="E15" sqref="E15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0896D-5EDB-4C34-A64F-4500890FBD09}">
  <sheetPr codeName="Planilha5"/>
  <dimension ref="A1"/>
  <sheetViews>
    <sheetView workbookViewId="0">
      <selection activeCell="H22" sqref="H22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C7635E-4D0C-4D56-B7E8-61E0991A9428}">
  <sheetPr codeName="Planilha6"/>
  <dimension ref="A2:C28"/>
  <sheetViews>
    <sheetView workbookViewId="0">
      <selection activeCell="E7" sqref="E7"/>
    </sheetView>
  </sheetViews>
  <sheetFormatPr defaultRowHeight="15" x14ac:dyDescent="0.25"/>
  <sheetData>
    <row r="2" spans="1:3" x14ac:dyDescent="0.25">
      <c r="A2" s="44" t="s">
        <v>55</v>
      </c>
      <c r="B2" s="44"/>
      <c r="C2" s="44"/>
    </row>
    <row r="3" spans="1:3" x14ac:dyDescent="0.25">
      <c r="A3" s="43" t="s">
        <v>29</v>
      </c>
      <c r="B3" s="43"/>
      <c r="C3" s="43"/>
    </row>
    <row r="4" spans="1:3" x14ac:dyDescent="0.25">
      <c r="A4" s="43" t="s">
        <v>28</v>
      </c>
      <c r="B4" s="43"/>
      <c r="C4" s="43"/>
    </row>
    <row r="5" spans="1:3" x14ac:dyDescent="0.25">
      <c r="A5" s="43" t="s">
        <v>27</v>
      </c>
      <c r="B5" s="43"/>
      <c r="C5" s="43"/>
    </row>
    <row r="6" spans="1:3" x14ac:dyDescent="0.25">
      <c r="A6" s="43" t="s">
        <v>37</v>
      </c>
      <c r="B6" s="43"/>
      <c r="C6" s="43"/>
    </row>
    <row r="7" spans="1:3" x14ac:dyDescent="0.25">
      <c r="A7" s="43" t="s">
        <v>53</v>
      </c>
      <c r="B7" s="43"/>
      <c r="C7" s="43"/>
    </row>
    <row r="8" spans="1:3" x14ac:dyDescent="0.25">
      <c r="A8" s="43" t="s">
        <v>31</v>
      </c>
      <c r="B8" s="43"/>
      <c r="C8" s="43"/>
    </row>
    <row r="9" spans="1:3" x14ac:dyDescent="0.25">
      <c r="A9" s="43" t="s">
        <v>32</v>
      </c>
      <c r="B9" s="43"/>
      <c r="C9" s="43"/>
    </row>
    <row r="10" spans="1:3" x14ac:dyDescent="0.25">
      <c r="A10" s="43" t="s">
        <v>33</v>
      </c>
      <c r="B10" s="43"/>
      <c r="C10" s="43"/>
    </row>
    <row r="11" spans="1:3" x14ac:dyDescent="0.25">
      <c r="A11" s="43" t="s">
        <v>34</v>
      </c>
      <c r="B11" s="43"/>
      <c r="C11" s="43"/>
    </row>
    <row r="12" spans="1:3" x14ac:dyDescent="0.25">
      <c r="A12" s="43" t="s">
        <v>38</v>
      </c>
      <c r="B12" s="43"/>
      <c r="C12" s="43"/>
    </row>
    <row r="13" spans="1:3" x14ac:dyDescent="0.25">
      <c r="A13" s="43" t="s">
        <v>40</v>
      </c>
      <c r="B13" s="43"/>
      <c r="C13" s="43"/>
    </row>
    <row r="14" spans="1:3" x14ac:dyDescent="0.25">
      <c r="A14" s="43" t="s">
        <v>41</v>
      </c>
      <c r="B14" s="43"/>
      <c r="C14" s="43"/>
    </row>
    <row r="15" spans="1:3" x14ac:dyDescent="0.25">
      <c r="A15" s="43" t="s">
        <v>42</v>
      </c>
      <c r="B15" s="43"/>
      <c r="C15" s="43"/>
    </row>
    <row r="16" spans="1:3" x14ac:dyDescent="0.25">
      <c r="A16" s="43" t="s">
        <v>38</v>
      </c>
      <c r="B16" s="43"/>
      <c r="C16" s="43"/>
    </row>
    <row r="17" spans="1:3" x14ac:dyDescent="0.25">
      <c r="A17" s="43" t="s">
        <v>35</v>
      </c>
      <c r="B17" s="43"/>
      <c r="C17" s="43"/>
    </row>
    <row r="18" spans="1:3" x14ac:dyDescent="0.25">
      <c r="A18" s="43" t="s">
        <v>36</v>
      </c>
      <c r="B18" s="43"/>
      <c r="C18" s="43"/>
    </row>
    <row r="19" spans="1:3" x14ac:dyDescent="0.25">
      <c r="A19" s="43" t="s">
        <v>39</v>
      </c>
      <c r="B19" s="43"/>
      <c r="C19" s="43"/>
    </row>
    <row r="20" spans="1:3" x14ac:dyDescent="0.25">
      <c r="A20" s="43" t="s">
        <v>44</v>
      </c>
      <c r="B20" s="43"/>
      <c r="C20" s="43"/>
    </row>
    <row r="21" spans="1:3" x14ac:dyDescent="0.25">
      <c r="A21" s="43" t="s">
        <v>45</v>
      </c>
      <c r="B21" s="43"/>
      <c r="C21" s="43"/>
    </row>
    <row r="22" spans="1:3" x14ac:dyDescent="0.25">
      <c r="A22" s="43" t="s">
        <v>46</v>
      </c>
      <c r="B22" s="43"/>
      <c r="C22" s="43"/>
    </row>
    <row r="23" spans="1:3" x14ac:dyDescent="0.25">
      <c r="A23" s="43" t="s">
        <v>47</v>
      </c>
      <c r="B23" s="43"/>
      <c r="C23" s="43"/>
    </row>
    <row r="24" spans="1:3" x14ac:dyDescent="0.25">
      <c r="A24" s="43" t="s">
        <v>52</v>
      </c>
      <c r="B24" s="43"/>
      <c r="C24" s="43"/>
    </row>
    <row r="25" spans="1:3" x14ac:dyDescent="0.25">
      <c r="A25" s="43" t="s">
        <v>48</v>
      </c>
      <c r="B25" s="43"/>
      <c r="C25" s="43"/>
    </row>
    <row r="26" spans="1:3" x14ac:dyDescent="0.25">
      <c r="A26" s="43" t="s">
        <v>49</v>
      </c>
      <c r="B26" s="43"/>
      <c r="C26" s="43"/>
    </row>
    <row r="27" spans="1:3" x14ac:dyDescent="0.25">
      <c r="A27" s="43" t="s">
        <v>50</v>
      </c>
      <c r="B27" s="43"/>
      <c r="C27" s="43"/>
    </row>
    <row r="28" spans="1:3" x14ac:dyDescent="0.25">
      <c r="A28" s="43" t="s">
        <v>51</v>
      </c>
      <c r="B28" s="43"/>
      <c r="C28" s="43"/>
    </row>
  </sheetData>
  <mergeCells count="27">
    <mergeCell ref="A7:C7"/>
    <mergeCell ref="A2:C2"/>
    <mergeCell ref="A3:C3"/>
    <mergeCell ref="A4:C4"/>
    <mergeCell ref="A5:C5"/>
    <mergeCell ref="A6:C6"/>
    <mergeCell ref="A19:C19"/>
    <mergeCell ref="A8:C8"/>
    <mergeCell ref="A9:C9"/>
    <mergeCell ref="A10:C10"/>
    <mergeCell ref="A11:C11"/>
    <mergeCell ref="A12:C12"/>
    <mergeCell ref="A13:C13"/>
    <mergeCell ref="A14:C14"/>
    <mergeCell ref="A15:C15"/>
    <mergeCell ref="A16:C16"/>
    <mergeCell ref="A17:C17"/>
    <mergeCell ref="A18:C18"/>
    <mergeCell ref="A26:C26"/>
    <mergeCell ref="A27:C27"/>
    <mergeCell ref="A28:C28"/>
    <mergeCell ref="A20:C20"/>
    <mergeCell ref="A21:C21"/>
    <mergeCell ref="A22:C22"/>
    <mergeCell ref="A23:C23"/>
    <mergeCell ref="A24:C24"/>
    <mergeCell ref="A25:C25"/>
  </mergeCells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228531-68C6-4130-BE04-63E41BE4FD9E}">
  <sheetPr codeName="Planilha7"/>
  <dimension ref="B2:D8"/>
  <sheetViews>
    <sheetView workbookViewId="0">
      <selection activeCell="B3" sqref="B3:D3"/>
    </sheetView>
  </sheetViews>
  <sheetFormatPr defaultRowHeight="15" x14ac:dyDescent="0.25"/>
  <sheetData>
    <row r="2" spans="2:4" x14ac:dyDescent="0.25">
      <c r="B2" s="43" t="s">
        <v>10</v>
      </c>
      <c r="C2" s="43"/>
      <c r="D2" s="43"/>
    </row>
    <row r="3" spans="2:4" x14ac:dyDescent="0.25">
      <c r="B3" s="46"/>
      <c r="C3" s="46"/>
      <c r="D3" s="46"/>
    </row>
    <row r="4" spans="2:4" x14ac:dyDescent="0.25">
      <c r="B4" s="47"/>
      <c r="C4" s="47"/>
      <c r="D4" s="47"/>
    </row>
    <row r="5" spans="2:4" x14ac:dyDescent="0.25">
      <c r="B5" s="48"/>
      <c r="C5" s="48"/>
      <c r="D5" s="48"/>
    </row>
    <row r="6" spans="2:4" x14ac:dyDescent="0.25">
      <c r="B6" s="49"/>
      <c r="C6" s="49"/>
      <c r="D6" s="49"/>
    </row>
    <row r="7" spans="2:4" x14ac:dyDescent="0.25">
      <c r="B7" s="50"/>
      <c r="C7" s="50"/>
      <c r="D7" s="50"/>
    </row>
    <row r="8" spans="2:4" x14ac:dyDescent="0.25">
      <c r="B8" s="45"/>
      <c r="C8" s="45"/>
      <c r="D8" s="45"/>
    </row>
  </sheetData>
  <mergeCells count="7">
    <mergeCell ref="B8:D8"/>
    <mergeCell ref="B2:D2"/>
    <mergeCell ref="B3:D3"/>
    <mergeCell ref="B4:D4"/>
    <mergeCell ref="B5:D5"/>
    <mergeCell ref="B6:D6"/>
    <mergeCell ref="B7:D7"/>
  </mergeCells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C5EC98-8A33-4D1B-9E19-CE1C24D66132}">
  <sheetPr codeName="Planilha8"/>
  <dimension ref="A2:L6"/>
  <sheetViews>
    <sheetView workbookViewId="0">
      <selection activeCell="J6" sqref="J6"/>
    </sheetView>
  </sheetViews>
  <sheetFormatPr defaultRowHeight="15" x14ac:dyDescent="0.25"/>
  <cols>
    <col min="2" max="2" width="9.5703125" bestFit="1" customWidth="1"/>
    <col min="3" max="3" width="10.5703125" bestFit="1" customWidth="1"/>
    <col min="4" max="4" width="10.7109375" bestFit="1" customWidth="1"/>
    <col min="5" max="5" width="18" bestFit="1" customWidth="1"/>
    <col min="6" max="6" width="13.28515625" bestFit="1" customWidth="1"/>
    <col min="7" max="7" width="14.7109375" bestFit="1" customWidth="1"/>
    <col min="10" max="10" width="10.7109375" bestFit="1" customWidth="1"/>
    <col min="11" max="11" width="13.28515625" bestFit="1" customWidth="1"/>
    <col min="12" max="12" width="9.5703125" bestFit="1" customWidth="1"/>
  </cols>
  <sheetData>
    <row r="2" spans="1:12" x14ac:dyDescent="0.25">
      <c r="A2" t="s">
        <v>18</v>
      </c>
      <c r="B2" t="s">
        <v>15</v>
      </c>
      <c r="C2" t="s">
        <v>19</v>
      </c>
      <c r="D2" t="s">
        <v>17</v>
      </c>
      <c r="E2" s="7" t="s">
        <v>21</v>
      </c>
      <c r="F2" t="s">
        <v>24</v>
      </c>
      <c r="G2" t="s">
        <v>23</v>
      </c>
      <c r="J2" t="s">
        <v>17</v>
      </c>
      <c r="K2" t="s">
        <v>19</v>
      </c>
      <c r="L2" t="s">
        <v>15</v>
      </c>
    </row>
    <row r="3" spans="1:12" x14ac:dyDescent="0.25">
      <c r="A3" t="s">
        <v>20</v>
      </c>
      <c r="B3" s="3">
        <v>20</v>
      </c>
      <c r="C3" s="4">
        <v>780</v>
      </c>
      <c r="D3" s="5">
        <v>44317</v>
      </c>
      <c r="E3" s="8">
        <v>44317</v>
      </c>
      <c r="F3" s="9">
        <v>780</v>
      </c>
      <c r="G3" s="9">
        <v>20</v>
      </c>
      <c r="J3" s="5">
        <v>44317</v>
      </c>
      <c r="K3" s="4">
        <v>780</v>
      </c>
      <c r="L3" s="3">
        <v>20</v>
      </c>
    </row>
    <row r="4" spans="1:12" x14ac:dyDescent="0.25">
      <c r="A4" t="s">
        <v>20</v>
      </c>
      <c r="B4" s="3">
        <v>20</v>
      </c>
      <c r="C4" s="6">
        <f>C3-B4</f>
        <v>760</v>
      </c>
      <c r="D4" s="5">
        <v>44318</v>
      </c>
      <c r="E4" s="8">
        <v>44318</v>
      </c>
      <c r="F4" s="9">
        <v>760</v>
      </c>
      <c r="G4" s="9">
        <v>20</v>
      </c>
      <c r="J4" s="5">
        <v>44318</v>
      </c>
      <c r="K4" s="6">
        <v>760</v>
      </c>
      <c r="L4" s="3">
        <v>20</v>
      </c>
    </row>
    <row r="5" spans="1:12" x14ac:dyDescent="0.25">
      <c r="E5" s="8" t="s">
        <v>22</v>
      </c>
      <c r="F5" s="9">
        <v>760</v>
      </c>
      <c r="G5" s="9">
        <v>20</v>
      </c>
      <c r="J5" s="5">
        <v>44348</v>
      </c>
      <c r="K5" s="4">
        <v>900</v>
      </c>
      <c r="L5" s="3">
        <v>0</v>
      </c>
    </row>
    <row r="6" spans="1:12" x14ac:dyDescent="0.25">
      <c r="J6" s="5">
        <v>44349</v>
      </c>
      <c r="K6" s="4">
        <v>880</v>
      </c>
      <c r="L6" s="3">
        <v>20</v>
      </c>
    </row>
  </sheetData>
  <pageMargins left="0.511811024" right="0.511811024" top="0.78740157499999996" bottom="0.78740157499999996" header="0.31496062000000002" footer="0.31496062000000002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99D18A-82B4-4AE6-9134-243AB0D0F1B0}">
  <sheetPr codeName="Planilha9"/>
  <dimension ref="H7:O18"/>
  <sheetViews>
    <sheetView workbookViewId="0">
      <selection activeCell="B16" sqref="B16"/>
    </sheetView>
  </sheetViews>
  <sheetFormatPr defaultRowHeight="15" x14ac:dyDescent="0.25"/>
  <sheetData>
    <row r="7" spans="8:15" x14ac:dyDescent="0.25">
      <c r="H7" s="43" t="s">
        <v>0</v>
      </c>
      <c r="I7" s="43"/>
      <c r="J7" s="43"/>
      <c r="K7" s="43"/>
      <c r="L7" s="43"/>
      <c r="M7" s="43"/>
      <c r="N7" s="43"/>
      <c r="O7" s="43"/>
    </row>
    <row r="8" spans="8:15" x14ac:dyDescent="0.25">
      <c r="H8" s="51" t="s">
        <v>1</v>
      </c>
      <c r="I8" s="51"/>
      <c r="J8" s="51"/>
      <c r="K8" s="51"/>
      <c r="L8" s="51"/>
      <c r="M8" s="51"/>
      <c r="N8" s="51"/>
      <c r="O8" s="51"/>
    </row>
    <row r="9" spans="8:15" x14ac:dyDescent="0.25">
      <c r="H9" s="51" t="s">
        <v>2</v>
      </c>
      <c r="I9" s="51"/>
      <c r="J9" s="51"/>
      <c r="K9" s="51"/>
      <c r="L9" s="51"/>
      <c r="M9" s="51"/>
      <c r="N9" s="51"/>
      <c r="O9" s="51"/>
    </row>
    <row r="10" spans="8:15" x14ac:dyDescent="0.25">
      <c r="H10" s="51" t="s">
        <v>3</v>
      </c>
      <c r="I10" s="51"/>
      <c r="J10" s="51"/>
      <c r="K10" s="51"/>
      <c r="L10" s="51"/>
      <c r="M10" s="51"/>
      <c r="N10" s="51"/>
      <c r="O10" s="51"/>
    </row>
    <row r="11" spans="8:15" x14ac:dyDescent="0.25">
      <c r="H11" s="51" t="s">
        <v>4</v>
      </c>
      <c r="I11" s="51"/>
      <c r="J11" s="51"/>
      <c r="K11" s="51"/>
      <c r="L11" s="51"/>
      <c r="M11" s="51"/>
      <c r="N11" s="51"/>
      <c r="O11" s="51"/>
    </row>
    <row r="12" spans="8:15" x14ac:dyDescent="0.25">
      <c r="H12" s="51" t="s">
        <v>5</v>
      </c>
      <c r="I12" s="51"/>
      <c r="J12" s="51"/>
      <c r="K12" s="51"/>
      <c r="L12" s="51"/>
      <c r="M12" s="51"/>
      <c r="N12" s="51"/>
      <c r="O12" s="51"/>
    </row>
    <row r="13" spans="8:15" x14ac:dyDescent="0.25">
      <c r="H13" s="51" t="s">
        <v>6</v>
      </c>
      <c r="I13" s="51"/>
      <c r="J13" s="51"/>
      <c r="K13" s="51"/>
      <c r="L13" s="51"/>
      <c r="M13" s="51"/>
      <c r="N13" s="51"/>
      <c r="O13" s="51"/>
    </row>
    <row r="14" spans="8:15" x14ac:dyDescent="0.25">
      <c r="H14" s="51" t="s">
        <v>7</v>
      </c>
      <c r="I14" s="51"/>
      <c r="J14" s="51"/>
      <c r="K14" s="51"/>
      <c r="L14" s="51"/>
      <c r="M14" s="51"/>
      <c r="N14" s="51"/>
      <c r="O14" s="51"/>
    </row>
    <row r="15" spans="8:15" x14ac:dyDescent="0.25">
      <c r="H15" s="51" t="s">
        <v>8</v>
      </c>
      <c r="I15" s="51"/>
      <c r="J15" s="51"/>
      <c r="K15" s="51"/>
      <c r="L15" s="51"/>
      <c r="M15" s="51"/>
      <c r="N15" s="51"/>
      <c r="O15" s="51"/>
    </row>
    <row r="16" spans="8:15" x14ac:dyDescent="0.25">
      <c r="H16" s="51" t="s">
        <v>9</v>
      </c>
      <c r="I16" s="51"/>
      <c r="J16" s="51"/>
      <c r="K16" s="51"/>
      <c r="L16" s="51"/>
      <c r="M16" s="51"/>
      <c r="N16" s="51"/>
      <c r="O16" s="51"/>
    </row>
    <row r="17" spans="8:15" x14ac:dyDescent="0.25">
      <c r="H17" s="51"/>
      <c r="I17" s="51"/>
      <c r="J17" s="51"/>
      <c r="K17" s="51"/>
      <c r="L17" s="51"/>
      <c r="M17" s="51"/>
      <c r="N17" s="51"/>
      <c r="O17" s="51"/>
    </row>
    <row r="18" spans="8:15" x14ac:dyDescent="0.25">
      <c r="H18" s="51"/>
      <c r="I18" s="51"/>
      <c r="J18" s="51"/>
      <c r="K18" s="51"/>
      <c r="L18" s="51"/>
      <c r="M18" s="51"/>
      <c r="N18" s="51"/>
      <c r="O18" s="51"/>
    </row>
  </sheetData>
  <mergeCells count="12">
    <mergeCell ref="H18:O18"/>
    <mergeCell ref="H7:O7"/>
    <mergeCell ref="H8:O8"/>
    <mergeCell ref="H9:O9"/>
    <mergeCell ref="H10:O10"/>
    <mergeCell ref="H11:O11"/>
    <mergeCell ref="H12:O12"/>
    <mergeCell ref="H13:O13"/>
    <mergeCell ref="H14:O14"/>
    <mergeCell ref="H15:O15"/>
    <mergeCell ref="H16:O16"/>
    <mergeCell ref="H17:O17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9</vt:i4>
      </vt:variant>
    </vt:vector>
  </HeadingPairs>
  <TitlesOfParts>
    <vt:vector size="9" baseType="lpstr">
      <vt:lpstr>DashBoard</vt:lpstr>
      <vt:lpstr>Sintetico</vt:lpstr>
      <vt:lpstr>Dados</vt:lpstr>
      <vt:lpstr>Preços</vt:lpstr>
      <vt:lpstr>Analises</vt:lpstr>
      <vt:lpstr>Components</vt:lpstr>
      <vt:lpstr>Design</vt:lpstr>
      <vt:lpstr>Testes</vt:lpstr>
      <vt:lpstr>Perguntas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mahjjongh</dc:creator>
  <cp:lastModifiedBy>mahjjongh</cp:lastModifiedBy>
  <dcterms:created xsi:type="dcterms:W3CDTF">2021-05-03T16:39:56Z</dcterms:created>
  <dcterms:modified xsi:type="dcterms:W3CDTF">2021-05-12T23:39:21Z</dcterms:modified>
</cp:coreProperties>
</file>