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E:\CTIS - Tools\"/>
    </mc:Choice>
  </mc:AlternateContent>
  <bookViews>
    <workbookView xWindow="-120" yWindow="-120" windowWidth="21840" windowHeight="13140"/>
  </bookViews>
  <sheets>
    <sheet name="Dashboard" sheetId="1" r:id="rId1"/>
    <sheet name="Dados(RAW)" sheetId="2" state="hidden" r:id="rId2"/>
    <sheet name="Apoio" sheetId="3" state="hidden" r:id="rId3"/>
  </sheets>
  <definedNames>
    <definedName name="SegmentaçãodeDados_Certificações">#N/A</definedName>
    <definedName name="SegmentaçãodeDados_Disponibilidade">#N/A</definedName>
    <definedName name="SegmentaçãodeDados_Disponibilidade_Turno">#N/A</definedName>
    <definedName name="SegmentaçãodeDados_Especialidade">#N/A</definedName>
  </definedNames>
  <calcPr calcId="152511"/>
  <pivotCaches>
    <pivotCache cacheId="14" r:id="rId4"/>
  </pivotCaches>
  <extLst>
    <ext xmlns:x14="http://schemas.microsoft.com/office/spreadsheetml/2009/9/main" uri="{BBE1A952-AA13-448e-AADC-164F8A28A991}">
      <x14:slicerCaches>
        <x14:slicerCache r:id="rId5"/>
        <x14:slicerCache r:id="rId6"/>
        <x14:slicerCache r:id="rId7"/>
        <x14:slicerCache r:id="rId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D3" i="3" l="1"/>
  <c r="AD4" i="3" l="1"/>
  <c r="AD5" i="3" s="1"/>
  <c r="AD6" i="3" l="1"/>
  <c r="AD7" i="3" s="1"/>
  <c r="AD8" i="3" l="1"/>
  <c r="AD9" i="3" l="1"/>
  <c r="AD10" i="3" l="1"/>
  <c r="AD11" i="3" l="1"/>
  <c r="AD12" i="3" l="1"/>
  <c r="P5" i="3" l="1"/>
  <c r="P6" i="3" l="1"/>
  <c r="P7" i="3" s="1"/>
  <c r="P8" i="3" s="1"/>
  <c r="P9" i="3" s="1"/>
  <c r="P10" i="3" s="1"/>
  <c r="P11" i="3" s="1"/>
  <c r="P12" i="3" s="1"/>
  <c r="P13" i="3" s="1"/>
  <c r="P14" i="3" s="1"/>
  <c r="P15" i="3" s="1"/>
  <c r="P16" i="3" s="1"/>
  <c r="P17" i="3" s="1"/>
  <c r="P18" i="3" s="1"/>
  <c r="P19" i="3" s="1"/>
  <c r="P20" i="3" s="1"/>
  <c r="P21" i="3" s="1"/>
  <c r="P22" i="3" s="1"/>
  <c r="P23" i="3" s="1"/>
  <c r="P24" i="3" s="1"/>
  <c r="P25" i="3" s="1"/>
  <c r="P26" i="3" s="1"/>
  <c r="P27" i="3" s="1"/>
  <c r="P28" i="3" s="1"/>
  <c r="P29" i="3" s="1"/>
  <c r="P30" i="3" s="1"/>
  <c r="AE3" i="3"/>
  <c r="AF3" i="3"/>
  <c r="AH3" i="3" l="1"/>
  <c r="AG3" i="3"/>
  <c r="AI3" i="3"/>
  <c r="AH12" i="3"/>
  <c r="AI10" i="3"/>
  <c r="AG6" i="3"/>
  <c r="AI6" i="3"/>
  <c r="AE9" i="3"/>
  <c r="AH6" i="3"/>
  <c r="AG12" i="3"/>
  <c r="AH9" i="3"/>
  <c r="AI4" i="3"/>
  <c r="AI11" i="3"/>
  <c r="AE8" i="3"/>
  <c r="AH4" i="3"/>
  <c r="AH11" i="3"/>
  <c r="AF10" i="3"/>
  <c r="AG8" i="3"/>
  <c r="AF7" i="3"/>
  <c r="AH5" i="3"/>
  <c r="AE6" i="3"/>
  <c r="AI12" i="3"/>
  <c r="AF11" i="3"/>
  <c r="AH10" i="3"/>
  <c r="AH8" i="3"/>
  <c r="AG7" i="3"/>
  <c r="AI5" i="3"/>
  <c r="AG5" i="3"/>
  <c r="AE12" i="3"/>
  <c r="AG11" i="3"/>
  <c r="AE10" i="3"/>
  <c r="AF9" i="3"/>
  <c r="AI8" i="3"/>
  <c r="AE7" i="3"/>
  <c r="AI7" i="3"/>
  <c r="AE4" i="3"/>
  <c r="AG4" i="3"/>
  <c r="AF12" i="3"/>
  <c r="AE11" i="3"/>
  <c r="AG10" i="3"/>
  <c r="AG9" i="3"/>
  <c r="AI9" i="3"/>
  <c r="AF8" i="3"/>
  <c r="AF6" i="3"/>
  <c r="AH7" i="3"/>
  <c r="AF4" i="3"/>
  <c r="AF5" i="3"/>
  <c r="AE5" i="3"/>
</calcChain>
</file>

<file path=xl/sharedStrings.xml><?xml version="1.0" encoding="utf-8"?>
<sst xmlns="http://schemas.openxmlformats.org/spreadsheetml/2006/main" count="99" uniqueCount="45">
  <si>
    <t>Especialidade</t>
  </si>
  <si>
    <t>Até</t>
  </si>
  <si>
    <t>Contrato Atual</t>
  </si>
  <si>
    <t>Nome</t>
  </si>
  <si>
    <t>Certificações</t>
  </si>
  <si>
    <t>Experiência</t>
  </si>
  <si>
    <t>Disponibilidade</t>
  </si>
  <si>
    <t>Disponibilidade Turno</t>
  </si>
  <si>
    <t>Disposição Turno - Lista</t>
  </si>
  <si>
    <t>Matutino</t>
  </si>
  <si>
    <t>Vespertino</t>
  </si>
  <si>
    <t>Noturno</t>
  </si>
  <si>
    <t>Madrugada</t>
  </si>
  <si>
    <t>Disposição Inicio</t>
  </si>
  <si>
    <t>Imediata</t>
  </si>
  <si>
    <t>Termino do Projeto</t>
  </si>
  <si>
    <t>Contratos</t>
  </si>
  <si>
    <t>Caixa</t>
  </si>
  <si>
    <t>Bacen</t>
  </si>
  <si>
    <t>TJDF</t>
  </si>
  <si>
    <t>TSE</t>
  </si>
  <si>
    <t>José Manja Tudo</t>
  </si>
  <si>
    <t>15/11/2019</t>
  </si>
  <si>
    <t>Manjador dos Paranaues</t>
  </si>
  <si>
    <t>Rótulos de Linha</t>
  </si>
  <si>
    <t>Total Geral</t>
  </si>
  <si>
    <t>Rótulos de Coluna</t>
  </si>
  <si>
    <t>Contagem de Nome</t>
  </si>
  <si>
    <t>15/02/2020</t>
  </si>
  <si>
    <t>Financeira</t>
  </si>
  <si>
    <t>Contagem de Especialidade</t>
  </si>
  <si>
    <t>Especialidades</t>
  </si>
  <si>
    <t>04/05/2021</t>
  </si>
  <si>
    <t>Fernando Sabe das Coisas</t>
  </si>
  <si>
    <t>Patrick Manjador do Financeiro</t>
  </si>
  <si>
    <t>Joao Pablo</t>
  </si>
  <si>
    <t>25/09/2020</t>
  </si>
  <si>
    <t>Direito</t>
  </si>
  <si>
    <t>OAB</t>
  </si>
  <si>
    <t>Advogado</t>
  </si>
  <si>
    <t>Pablo Joao</t>
  </si>
  <si>
    <t>(vazio)</t>
  </si>
  <si>
    <t>qualquer um</t>
  </si>
  <si>
    <t>09/10/2020</t>
  </si>
  <si>
    <t>asdasd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</si>
</sst>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9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2" borderId="0" xfId="0" applyFill="1"/>
    <xf numFmtId="0" fontId="0" fillId="3" borderId="0" xfId="0" applyFill="1"/>
    <xf numFmtId="49" fontId="0" fillId="0" borderId="0" xfId="0" applyNumberFormat="1"/>
    <xf numFmtId="0" fontId="1" fillId="4" borderId="1" xfId="0" applyFont="1" applyFill="1" applyBorder="1"/>
  </cellXfs>
  <cellStyles count="1">
    <cellStyle name="Normal" xfId="0" builtinId="0"/>
  </cellStyles>
  <dxfs count="4">
    <dxf>
      <font>
        <color theme="0"/>
      </font>
      <fill>
        <patternFill>
          <fgColor theme="0"/>
        </patternFill>
      </fill>
      <border>
        <left/>
        <right/>
        <top/>
        <bottom/>
        <vertical/>
        <horizontal/>
      </border>
    </dxf>
    <dxf>
      <font>
        <color theme="3"/>
      </font>
      <fill>
        <patternFill>
          <fgColor theme="4"/>
          <bgColor theme="3"/>
        </patternFill>
      </fill>
      <border>
        <left/>
        <right/>
        <top/>
        <bottom/>
        <vertical/>
        <horizontal/>
      </border>
    </dxf>
    <dxf>
      <font>
        <color theme="9"/>
      </font>
      <fill>
        <patternFill>
          <bgColor theme="9"/>
        </patternFill>
      </fill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microsoft.com/office/2007/relationships/slicerCache" Target="slicerCaches/slicerCache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2.xml"/><Relationship Id="rId11" Type="http://schemas.openxmlformats.org/officeDocument/2006/relationships/sharedStrings" Target="sharedStrings.xml"/><Relationship Id="rId5" Type="http://schemas.microsoft.com/office/2007/relationships/slicerCache" Target="slicerCaches/slicerCache1.xml"/><Relationship Id="rId10" Type="http://schemas.openxmlformats.org/officeDocument/2006/relationships/styles" Target="styles.xml"/><Relationship Id="rId4" Type="http://schemas.openxmlformats.org/officeDocument/2006/relationships/pivotCacheDefinition" Target="pivotCache/pivotCacheDefinition1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[controle_especialistas_generica.xlsm]Apoio!Tabela dinâmica1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Especialistas por Contrato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Apoio!$K$3:$K$4</c:f>
              <c:strCache>
                <c:ptCount val="1"/>
                <c:pt idx="0">
                  <c:v>Bacen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Apoio!$J$5:$J$10</c:f>
              <c:strCache>
                <c:ptCount val="5"/>
                <c:pt idx="0">
                  <c:v>Manjador dos Paranaues</c:v>
                </c:pt>
                <c:pt idx="1">
                  <c:v>Financeira</c:v>
                </c:pt>
                <c:pt idx="2">
                  <c:v>Direito</c:v>
                </c:pt>
                <c:pt idx="3">
                  <c:v>(vazio)</c:v>
                </c:pt>
                <c:pt idx="4">
                  <c:v>asdasd</c:v>
                </c:pt>
              </c:strCache>
            </c:strRef>
          </c:cat>
          <c:val>
            <c:numRef>
              <c:f>Apoio!$K$5:$K$10</c:f>
              <c:numCache>
                <c:formatCode>General</c:formatCode>
                <c:ptCount val="5"/>
                <c:pt idx="0">
                  <c:v>1</c:v>
                </c:pt>
                <c:pt idx="2">
                  <c:v>1</c:v>
                </c:pt>
                <c:pt idx="4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54C-4C57-8E33-51AA23AFA4E6}"/>
            </c:ext>
          </c:extLst>
        </c:ser>
        <c:ser>
          <c:idx val="1"/>
          <c:order val="1"/>
          <c:tx>
            <c:strRef>
              <c:f>Apoio!$L$3:$L$4</c:f>
              <c:strCache>
                <c:ptCount val="1"/>
                <c:pt idx="0">
                  <c:v>Caixa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Apoio!$J$5:$J$10</c:f>
              <c:strCache>
                <c:ptCount val="5"/>
                <c:pt idx="0">
                  <c:v>Manjador dos Paranaues</c:v>
                </c:pt>
                <c:pt idx="1">
                  <c:v>Financeira</c:v>
                </c:pt>
                <c:pt idx="2">
                  <c:v>Direito</c:v>
                </c:pt>
                <c:pt idx="3">
                  <c:v>(vazio)</c:v>
                </c:pt>
                <c:pt idx="4">
                  <c:v>asdasd</c:v>
                </c:pt>
              </c:strCache>
            </c:strRef>
          </c:cat>
          <c:val>
            <c:numRef>
              <c:f>Apoio!$L$5:$L$10</c:f>
              <c:numCache>
                <c:formatCode>General</c:formatCode>
                <c:ptCount val="5"/>
                <c:pt idx="0">
                  <c:v>1</c:v>
                </c:pt>
                <c:pt idx="1">
                  <c:v>1</c:v>
                </c:pt>
              </c:numCache>
            </c:numRef>
          </c:val>
        </c:ser>
        <c:ser>
          <c:idx val="2"/>
          <c:order val="2"/>
          <c:tx>
            <c:strRef>
              <c:f>Apoio!$M$3:$M$4</c:f>
              <c:strCache>
                <c:ptCount val="1"/>
                <c:pt idx="0">
                  <c:v>TJDF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Apoio!$J$5:$J$10</c:f>
              <c:strCache>
                <c:ptCount val="5"/>
                <c:pt idx="0">
                  <c:v>Manjador dos Paranaues</c:v>
                </c:pt>
                <c:pt idx="1">
                  <c:v>Financeira</c:v>
                </c:pt>
                <c:pt idx="2">
                  <c:v>Direito</c:v>
                </c:pt>
                <c:pt idx="3">
                  <c:v>(vazio)</c:v>
                </c:pt>
                <c:pt idx="4">
                  <c:v>asdasd</c:v>
                </c:pt>
              </c:strCache>
            </c:strRef>
          </c:cat>
          <c:val>
            <c:numRef>
              <c:f>Apoio!$M$5:$M$10</c:f>
              <c:numCache>
                <c:formatCode>General</c:formatCode>
                <c:ptCount val="5"/>
                <c:pt idx="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41503248"/>
        <c:axId val="-1941484208"/>
      </c:barChart>
      <c:catAx>
        <c:axId val="-1941503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941484208"/>
        <c:crosses val="autoZero"/>
        <c:auto val="1"/>
        <c:lblAlgn val="ctr"/>
        <c:lblOffset val="100"/>
        <c:noMultiLvlLbl val="0"/>
      </c:catAx>
      <c:valAx>
        <c:axId val="-194148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-1941503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croll" dx="22" fmlaLink="Apoio!$V$3" max="100" min="1" page="1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emf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38099</xdr:colOff>
      <xdr:row>5</xdr:row>
      <xdr:rowOff>104775</xdr:rowOff>
    </xdr:from>
    <xdr:to>
      <xdr:col>9</xdr:col>
      <xdr:colOff>409575</xdr:colOff>
      <xdr:row>21</xdr:row>
      <xdr:rowOff>171451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476250</xdr:colOff>
          <xdr:row>16</xdr:row>
          <xdr:rowOff>19050</xdr:rowOff>
        </xdr:from>
        <xdr:to>
          <xdr:col>13</xdr:col>
          <xdr:colOff>104775</xdr:colOff>
          <xdr:row>22</xdr:row>
          <xdr:rowOff>47625</xdr:rowOff>
        </xdr:to>
        <xdr:sp macro="" textlink="">
          <xdr:nvSpPr>
            <xdr:cNvPr id="1034" name="Scroll Bar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133349</xdr:colOff>
          <xdr:row>16</xdr:row>
          <xdr:rowOff>28575</xdr:rowOff>
        </xdr:from>
        <xdr:to>
          <xdr:col>20</xdr:col>
          <xdr:colOff>314324</xdr:colOff>
          <xdr:row>22</xdr:row>
          <xdr:rowOff>38100</xdr:rowOff>
        </xdr:to>
        <xdr:pic>
          <xdr:nvPicPr>
            <xdr:cNvPr id="7" name="Imagem 6">
              <a:extLst>
                <a:ext uri="{FF2B5EF4-FFF2-40B4-BE49-F238E27FC236}">
                  <a16:creationId xmlns:a16="http://schemas.microsoft.com/office/drawing/2014/main" xmlns="" id="{00000000-0008-0000-0000-000007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poio!$AE$2:$AI$7" spid="_x0000_s109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058149" y="3076575"/>
              <a:ext cx="4448175" cy="11525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0</xdr:col>
      <xdr:colOff>19051</xdr:colOff>
      <xdr:row>5</xdr:row>
      <xdr:rowOff>9525</xdr:rowOff>
    </xdr:from>
    <xdr:to>
      <xdr:col>20</xdr:col>
      <xdr:colOff>323850</xdr:colOff>
      <xdr:row>5</xdr:row>
      <xdr:rowOff>66675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19051" y="962025"/>
          <a:ext cx="12496799" cy="57150"/>
        </a:xfrm>
        <a:prstGeom prst="rect">
          <a:avLst/>
        </a:prstGeom>
        <a:solidFill>
          <a:schemeClr val="tx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257175</xdr:colOff>
      <xdr:row>9</xdr:row>
      <xdr:rowOff>57150</xdr:rowOff>
    </xdr:from>
    <xdr:to>
      <xdr:col>17</xdr:col>
      <xdr:colOff>257175</xdr:colOff>
      <xdr:row>15</xdr:row>
      <xdr:rowOff>104775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9" name="Especialidade">
              <a:extLst>
                <a:ext uri="{FF2B5EF4-FFF2-40B4-BE49-F238E27FC236}">
                  <a16:creationId xmlns:a16="http://schemas.microsoft.com/office/drawing/2014/main" xmlns="" id="{00000000-0008-0000-00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pecialidad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91575" y="1771650"/>
              <a:ext cx="1828800" cy="11906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323850</xdr:colOff>
      <xdr:row>9</xdr:row>
      <xdr:rowOff>57150</xdr:rowOff>
    </xdr:from>
    <xdr:to>
      <xdr:col>20</xdr:col>
      <xdr:colOff>323850</xdr:colOff>
      <xdr:row>15</xdr:row>
      <xdr:rowOff>114300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Disponibilidade">
              <a:extLst>
                <a:ext uri="{FF2B5EF4-FFF2-40B4-BE49-F238E27FC236}">
                  <a16:creationId xmlns:a16="http://schemas.microsoft.com/office/drawing/2014/main" xmlns="" id="{AAD00945-84DA-463A-972A-614DF22E80B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sponibilidad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687050" y="1771650"/>
              <a:ext cx="1828800" cy="1200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266698</xdr:colOff>
      <xdr:row>5</xdr:row>
      <xdr:rowOff>133350</xdr:rowOff>
    </xdr:from>
    <xdr:to>
      <xdr:col>20</xdr:col>
      <xdr:colOff>323850</xdr:colOff>
      <xdr:row>9</xdr:row>
      <xdr:rowOff>28575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Disponibilidade Turno">
              <a:extLst>
                <a:ext uri="{FF2B5EF4-FFF2-40B4-BE49-F238E27FC236}">
                  <a16:creationId xmlns:a16="http://schemas.microsoft.com/office/drawing/2014/main" xmlns="" id="{3440A642-3BEA-458C-AF2E-58A91B75578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sponibilidade Tur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801098" y="1085850"/>
              <a:ext cx="3714752" cy="6572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295275</xdr:colOff>
      <xdr:row>0</xdr:row>
      <xdr:rowOff>57150</xdr:rowOff>
    </xdr:from>
    <xdr:to>
      <xdr:col>1</xdr:col>
      <xdr:colOff>408965</xdr:colOff>
      <xdr:row>4</xdr:row>
      <xdr:rowOff>18440</xdr:rowOff>
    </xdr:to>
    <xdr:pic macro="[0]!chama_form">
      <xdr:nvPicPr>
        <xdr:cNvPr id="5" name="Imagem 4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57150"/>
          <a:ext cx="723290" cy="723290"/>
        </a:xfrm>
        <a:prstGeom prst="rect">
          <a:avLst/>
        </a:prstGeom>
      </xdr:spPr>
    </xdr:pic>
    <xdr:clientData/>
  </xdr:twoCellAnchor>
  <xdr:oneCellAnchor>
    <xdr:from>
      <xdr:col>0</xdr:col>
      <xdr:colOff>266700</xdr:colOff>
      <xdr:row>3</xdr:row>
      <xdr:rowOff>142875</xdr:rowOff>
    </xdr:from>
    <xdr:ext cx="730072" cy="264560"/>
    <xdr:sp macro="[0]!chama_form" textlink="">
      <xdr:nvSpPr>
        <xdr:cNvPr id="6" name="CaixaDeTexto 5"/>
        <xdr:cNvSpPr txBox="1"/>
      </xdr:nvSpPr>
      <xdr:spPr>
        <a:xfrm>
          <a:off x="266700" y="714375"/>
          <a:ext cx="73007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Adicionar</a:t>
          </a:r>
        </a:p>
      </xdr:txBody>
    </xdr:sp>
    <xdr:clientData/>
  </xdr:oneCellAnchor>
  <xdr:twoCellAnchor editAs="oneCell">
    <xdr:from>
      <xdr:col>2</xdr:col>
      <xdr:colOff>371475</xdr:colOff>
      <xdr:row>0</xdr:row>
      <xdr:rowOff>66675</xdr:rowOff>
    </xdr:from>
    <xdr:to>
      <xdr:col>3</xdr:col>
      <xdr:colOff>435482</xdr:colOff>
      <xdr:row>3</xdr:row>
      <xdr:rowOff>168782</xdr:rowOff>
    </xdr:to>
    <xdr:pic macro="[0]!chama_Alterar"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5" y="66675"/>
          <a:ext cx="673607" cy="673607"/>
        </a:xfrm>
        <a:prstGeom prst="rect">
          <a:avLst/>
        </a:prstGeom>
      </xdr:spPr>
    </xdr:pic>
    <xdr:clientData/>
  </xdr:twoCellAnchor>
  <xdr:oneCellAnchor>
    <xdr:from>
      <xdr:col>2</xdr:col>
      <xdr:colOff>238125</xdr:colOff>
      <xdr:row>3</xdr:row>
      <xdr:rowOff>142875</xdr:rowOff>
    </xdr:from>
    <xdr:ext cx="692497" cy="264560"/>
    <xdr:sp macro="[0]!chama_Alterar" textlink="">
      <xdr:nvSpPr>
        <xdr:cNvPr id="12" name="CaixaDeTexto 11"/>
        <xdr:cNvSpPr txBox="1"/>
      </xdr:nvSpPr>
      <xdr:spPr>
        <a:xfrm>
          <a:off x="1457325" y="714375"/>
          <a:ext cx="69249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Atualizar</a:t>
          </a:r>
        </a:p>
      </xdr:txBody>
    </xdr:sp>
    <xdr:clientData/>
  </xdr:oneCellAnchor>
  <xdr:twoCellAnchor editAs="oneCell">
    <xdr:from>
      <xdr:col>4</xdr:col>
      <xdr:colOff>400050</xdr:colOff>
      <xdr:row>0</xdr:row>
      <xdr:rowOff>66675</xdr:rowOff>
    </xdr:from>
    <xdr:to>
      <xdr:col>5</xdr:col>
      <xdr:colOff>504214</xdr:colOff>
      <xdr:row>4</xdr:row>
      <xdr:rowOff>18439</xdr:rowOff>
    </xdr:to>
    <xdr:pic macro="[0]!chama_Excluir">
      <xdr:nvPicPr>
        <xdr:cNvPr id="13" name="Imagem 1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38450" y="66675"/>
          <a:ext cx="713764" cy="713764"/>
        </a:xfrm>
        <a:prstGeom prst="rect">
          <a:avLst/>
        </a:prstGeom>
      </xdr:spPr>
    </xdr:pic>
    <xdr:clientData/>
  </xdr:twoCellAnchor>
  <xdr:oneCellAnchor>
    <xdr:from>
      <xdr:col>4</xdr:col>
      <xdr:colOff>476250</xdr:colOff>
      <xdr:row>3</xdr:row>
      <xdr:rowOff>133350</xdr:rowOff>
    </xdr:from>
    <xdr:ext cx="562333" cy="264560"/>
    <xdr:sp macro="[0]!chama_Excluir" textlink="">
      <xdr:nvSpPr>
        <xdr:cNvPr id="14" name="CaixaDeTexto 13"/>
        <xdr:cNvSpPr txBox="1"/>
      </xdr:nvSpPr>
      <xdr:spPr>
        <a:xfrm>
          <a:off x="2914650" y="704850"/>
          <a:ext cx="562333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Excluir</a:t>
          </a:r>
        </a:p>
      </xdr:txBody>
    </xdr:sp>
    <xdr:clientData/>
  </xdr:oneCellAnchor>
  <xdr:twoCellAnchor editAs="oneCell">
    <xdr:from>
      <xdr:col>15</xdr:col>
      <xdr:colOff>123825</xdr:colOff>
      <xdr:row>0</xdr:row>
      <xdr:rowOff>85725</xdr:rowOff>
    </xdr:from>
    <xdr:to>
      <xdr:col>16</xdr:col>
      <xdr:colOff>189889</xdr:colOff>
      <xdr:row>3</xdr:row>
      <xdr:rowOff>189889</xdr:rowOff>
    </xdr:to>
    <xdr:pic macro="[0]!chama_Localizar">
      <xdr:nvPicPr>
        <xdr:cNvPr id="17" name="Imagem 16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67825" y="85725"/>
          <a:ext cx="675664" cy="675664"/>
        </a:xfrm>
        <a:prstGeom prst="rect">
          <a:avLst/>
        </a:prstGeom>
      </xdr:spPr>
    </xdr:pic>
    <xdr:clientData/>
  </xdr:twoCellAnchor>
  <xdr:oneCellAnchor>
    <xdr:from>
      <xdr:col>15</xdr:col>
      <xdr:colOff>123825</xdr:colOff>
      <xdr:row>3</xdr:row>
      <xdr:rowOff>142875</xdr:rowOff>
    </xdr:from>
    <xdr:ext cx="682816" cy="264560"/>
    <xdr:sp macro="[0]!chama_Localizar" textlink="">
      <xdr:nvSpPr>
        <xdr:cNvPr id="18" name="CaixaDeTexto 17"/>
        <xdr:cNvSpPr txBox="1"/>
      </xdr:nvSpPr>
      <xdr:spPr>
        <a:xfrm>
          <a:off x="9267825" y="714375"/>
          <a:ext cx="68281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1100"/>
            <a:t>Localizar</a:t>
          </a:r>
        </a:p>
      </xdr:txBody>
    </xdr:sp>
    <xdr:clientData/>
  </xdr:oneCellAnchor>
  <xdr:twoCellAnchor editAs="oneCell">
    <xdr:from>
      <xdr:col>11</xdr:col>
      <xdr:colOff>228600</xdr:colOff>
      <xdr:row>5</xdr:row>
      <xdr:rowOff>133350</xdr:rowOff>
    </xdr:from>
    <xdr:to>
      <xdr:col>14</xdr:col>
      <xdr:colOff>228600</xdr:colOff>
      <xdr:row>15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Certificaçõe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ertificaçõ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934200" y="1085850"/>
              <a:ext cx="1828800" cy="18478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aulo Guilherme De Castro Chicherchio" refreshedDate="43740.666205208334" createdVersion="6" refreshedVersion="5" minRefreshableVersion="3" recordCount="6">
  <cacheSource type="worksheet">
    <worksheetSource name="Tabela1"/>
  </cacheSource>
  <cacheFields count="8">
    <cacheField name="Nome" numFmtId="0">
      <sharedItems count="14">
        <s v="José Manja Tudo"/>
        <s v="Fernando Sabe das Coisas"/>
        <s v="Patrick Manjador do Financeiro"/>
        <s v="Joao Pablo"/>
        <s v="Pablo Joao"/>
        <s v="qualquer um"/>
        <s v="Manja Pica das Galáxias" u="1"/>
        <s v="Manjador que Manja" u="1"/>
        <s v="Patrick Guerra" u="1"/>
        <s v="Adailton Sabe TUdo" u="1"/>
        <s v="fasdads" u="1"/>
        <s v="Marcos Manjador do Financeiro" u="1"/>
        <s v="Manjador Picudo" u="1"/>
        <s v="Sabedor das Coisas" u="1"/>
      </sharedItems>
    </cacheField>
    <cacheField name="Contrato Atual" numFmtId="0">
      <sharedItems count="4">
        <s v="Bacen"/>
        <s v="Caixa"/>
        <s v="TJDF"/>
        <s v="TSE" u="1"/>
      </sharedItems>
    </cacheField>
    <cacheField name="Até" numFmtId="49">
      <sharedItems containsBlank="1"/>
    </cacheField>
    <cacheField name="Especialidade" numFmtId="0">
      <sharedItems containsBlank="1" count="7">
        <s v="Manjador dos Paranaues"/>
        <s v="Financeira"/>
        <s v="Direito"/>
        <m/>
        <s v="asdasd"/>
        <s v="Saber Tudo" u="1"/>
        <s v="Financeira_x000d__x000a_Itil Expert_x000d__x000a_Itil Foundation" u="1"/>
      </sharedItems>
    </cacheField>
    <cacheField name="Certificações" numFmtId="0">
      <sharedItems containsBlank="1" count="5">
        <m/>
        <s v="OAB"/>
        <s v="asdasd"/>
        <s v="ITIL Expert" u="1"/>
        <s v="Itil v4 Expert" u="1"/>
      </sharedItems>
    </cacheField>
    <cacheField name="Experiência" numFmtId="0">
      <sharedItems containsBlank="1"/>
    </cacheField>
    <cacheField name="Disponibilidade" numFmtId="0">
      <sharedItems containsBlank="1" count="6">
        <s v="Vespertino"/>
        <s v="Noturno"/>
        <m/>
        <s v="Madrugada" u="1"/>
        <s v="Matutino" u="1"/>
        <s v="Termino do Projeto" u="1"/>
      </sharedItems>
    </cacheField>
    <cacheField name="Disponibilidade Turno" numFmtId="0">
      <sharedItems containsBlank="1" count="4">
        <s v="Termino do Projeto"/>
        <s v="Imediata"/>
        <m/>
        <s v="Vespertino" u="1"/>
      </sharedItems>
    </cacheField>
  </cacheFields>
  <extLst>
    <ext xmlns:x14="http://schemas.microsoft.com/office/spreadsheetml/2009/9/main" uri="{725AE2AE-9491-48be-B2B4-4EB974FC3084}">
      <x14:pivotCacheDefinition pivotCacheId="176908922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x v="0"/>
    <s v="15/11/2019"/>
    <x v="0"/>
    <x v="0"/>
    <m/>
    <x v="0"/>
    <x v="0"/>
  </r>
  <r>
    <x v="1"/>
    <x v="1"/>
    <s v="04/05/2021"/>
    <x v="0"/>
    <x v="0"/>
    <m/>
    <x v="0"/>
    <x v="1"/>
  </r>
  <r>
    <x v="2"/>
    <x v="1"/>
    <s v="15/02/2020"/>
    <x v="1"/>
    <x v="0"/>
    <m/>
    <x v="1"/>
    <x v="0"/>
  </r>
  <r>
    <x v="3"/>
    <x v="0"/>
    <s v="25/09/2020"/>
    <x v="2"/>
    <x v="1"/>
    <s v="Advogado"/>
    <x v="0"/>
    <x v="1"/>
  </r>
  <r>
    <x v="4"/>
    <x v="2"/>
    <m/>
    <x v="3"/>
    <x v="0"/>
    <m/>
    <x v="2"/>
    <x v="2"/>
  </r>
  <r>
    <x v="5"/>
    <x v="0"/>
    <s v="09/10/2020"/>
    <x v="4"/>
    <x v="2"/>
    <m/>
    <x v="0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14" applyNumberFormats="0" applyBorderFormats="0" applyFontFormats="0" applyPatternFormats="0" applyAlignmentFormats="0" applyWidthHeightFormats="1" dataCaption="Valores" updatedVersion="5" minRefreshableVersion="3" useAutoFormatting="1" itemPrintTitles="1" createdVersion="6" indent="0" outline="1" outlineData="1" multipleFieldFilters="0" chartFormat="24">
  <location ref="J3:N10" firstHeaderRow="1" firstDataRow="2" firstDataCol="1"/>
  <pivotFields count="8">
    <pivotField dataField="1" showAll="0"/>
    <pivotField axis="axisCol" showAll="0">
      <items count="5">
        <item x="0"/>
        <item x="1"/>
        <item x="2"/>
        <item m="1" x="3"/>
        <item t="default"/>
      </items>
    </pivotField>
    <pivotField showAll="0"/>
    <pivotField axis="axisRow" showAll="0">
      <items count="8">
        <item x="0"/>
        <item m="1" x="5"/>
        <item x="1"/>
        <item m="1" x="6"/>
        <item x="2"/>
        <item x="3"/>
        <item x="4"/>
        <item t="default"/>
      </items>
    </pivotField>
    <pivotField showAll="0">
      <items count="6">
        <item x="2"/>
        <item m="1" x="3"/>
        <item m="1" x="4"/>
        <item x="1"/>
        <item x="0"/>
        <item t="default"/>
      </items>
    </pivotField>
    <pivotField showAll="0"/>
    <pivotField showAll="0">
      <items count="7">
        <item m="1" x="3"/>
        <item m="1" x="4"/>
        <item x="1"/>
        <item m="1" x="5"/>
        <item x="0"/>
        <item x="2"/>
        <item t="default"/>
      </items>
    </pivotField>
    <pivotField showAll="0">
      <items count="5">
        <item x="1"/>
        <item x="0"/>
        <item m="1" x="3"/>
        <item x="2"/>
        <item t="default"/>
      </items>
    </pivotField>
  </pivotFields>
  <rowFields count="1">
    <field x="3"/>
  </rowFields>
  <rowItems count="6">
    <i>
      <x/>
    </i>
    <i>
      <x v="2"/>
    </i>
    <i>
      <x v="4"/>
    </i>
    <i>
      <x v="5"/>
    </i>
    <i>
      <x v="6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Contagem de Nome" fld="0" subtotal="count" baseField="0" baseItem="0"/>
  </dataFields>
  <chartFormats count="5">
    <chartFormat chart="1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0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ela dinâmica3" cacheId="14" applyNumberFormats="0" applyBorderFormats="0" applyFontFormats="0" applyPatternFormats="0" applyAlignmentFormats="0" applyWidthHeightFormats="1" dataCaption="Valores" updatedVersion="5" minRefreshableVersion="3" useAutoFormatting="1" itemPrintTitles="1" createdVersion="6" indent="0" outline="1" outlineData="1" multipleFieldFilters="0" rowHeaderCaption="Especialidades">
  <location ref="W2:AA9" firstHeaderRow="1" firstDataRow="2" firstDataCol="1"/>
  <pivotFields count="8">
    <pivotField showAll="0"/>
    <pivotField axis="axisCol" showAll="0">
      <items count="5">
        <item x="0"/>
        <item x="1"/>
        <item x="2"/>
        <item m="1" x="3"/>
        <item t="default"/>
      </items>
    </pivotField>
    <pivotField showAll="0"/>
    <pivotField axis="axisRow" dataField="1" showAll="0">
      <items count="8">
        <item x="1"/>
        <item x="0"/>
        <item m="1" x="5"/>
        <item m="1" x="6"/>
        <item x="2"/>
        <item x="3"/>
        <item x="4"/>
        <item t="default"/>
      </items>
    </pivotField>
    <pivotField showAll="0"/>
    <pivotField showAll="0"/>
    <pivotField showAll="0"/>
    <pivotField showAll="0"/>
  </pivotFields>
  <rowFields count="1">
    <field x="3"/>
  </rowFields>
  <rowItems count="6">
    <i>
      <x/>
    </i>
    <i>
      <x v="1"/>
    </i>
    <i>
      <x v="4"/>
    </i>
    <i>
      <x v="5"/>
    </i>
    <i>
      <x v="6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Contagem de Especialidade" fld="3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ela dinâmica2" cacheId="14" applyNumberFormats="0" applyBorderFormats="0" applyFontFormats="0" applyPatternFormats="0" applyAlignmentFormats="0" applyWidthHeightFormats="1" dataCaption="Valores" updatedVersion="5" minRefreshableVersion="3" rowGrandTotals="0" colGrandTotals="0" itemPrintTitles="1" createdVersion="6" indent="0" outline="1" outlineData="1" multipleFieldFilters="0" rowHeaderCaption="Nome" customListSort="0">
  <location ref="Q3:T10" firstHeaderRow="1" firstDataRow="2" firstDataCol="1"/>
  <pivotFields count="8">
    <pivotField axis="axisRow" dataField="1" showAll="0">
      <items count="15">
        <item m="1" x="9"/>
        <item m="1" x="10"/>
        <item x="0"/>
        <item m="1" x="12"/>
        <item m="1" x="7"/>
        <item m="1" x="11"/>
        <item m="1" x="6"/>
        <item m="1" x="13"/>
        <item x="1"/>
        <item x="2"/>
        <item m="1" x="8"/>
        <item x="3"/>
        <item x="4"/>
        <item x="5"/>
        <item t="default"/>
      </items>
    </pivotField>
    <pivotField axis="axisCol" showAll="0">
      <items count="5">
        <item x="0"/>
        <item x="1"/>
        <item x="2"/>
        <item m="1" x="3"/>
        <item t="default"/>
      </items>
    </pivotField>
    <pivotField showAll="0"/>
    <pivotField showAll="0">
      <items count="8">
        <item x="4"/>
        <item x="2"/>
        <item x="1"/>
        <item m="1" x="6"/>
        <item x="0"/>
        <item m="1" x="5"/>
        <item x="3"/>
        <item t="default"/>
      </items>
    </pivotField>
    <pivotField showAll="0">
      <items count="6">
        <item x="2"/>
        <item m="1" x="3"/>
        <item m="1" x="4"/>
        <item x="1"/>
        <item x="0"/>
        <item t="default"/>
      </items>
    </pivotField>
    <pivotField showAll="0"/>
    <pivotField showAll="0">
      <items count="7">
        <item m="1" x="3"/>
        <item m="1" x="4"/>
        <item x="1"/>
        <item m="1" x="5"/>
        <item x="0"/>
        <item x="2"/>
        <item t="default"/>
      </items>
    </pivotField>
    <pivotField showAll="0">
      <items count="5">
        <item x="1"/>
        <item x="0"/>
        <item m="1" x="3"/>
        <item x="2"/>
        <item t="default"/>
      </items>
    </pivotField>
  </pivotFields>
  <rowFields count="1">
    <field x="0"/>
  </rowFields>
  <rowItems count="6">
    <i>
      <x v="2"/>
    </i>
    <i>
      <x v="8"/>
    </i>
    <i>
      <x v="9"/>
    </i>
    <i>
      <x v="11"/>
    </i>
    <i>
      <x v="12"/>
    </i>
    <i>
      <x v="13"/>
    </i>
  </rowItems>
  <colFields count="1">
    <field x="1"/>
  </colFields>
  <colItems count="3">
    <i>
      <x/>
    </i>
    <i>
      <x v="1"/>
    </i>
    <i>
      <x v="2"/>
    </i>
  </colItems>
  <dataFields count="1">
    <dataField name="Contagem de Nome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Especialidade" sourceName="Especialidade">
  <pivotTables>
    <pivotTable tabId="3" name="Tabela dinâmica2"/>
    <pivotTable tabId="3" name="Tabela dinâmica1"/>
  </pivotTables>
  <data>
    <tabular pivotCacheId="1769089227">
      <items count="7">
        <i x="4" s="1"/>
        <i x="2" s="1"/>
        <i x="1" s="1"/>
        <i x="0" s="1"/>
        <i x="3" s="1"/>
        <i x="6" s="1" nd="1"/>
        <i x="5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Disponibilidade" sourceName="Disponibilidade">
  <pivotTables>
    <pivotTable tabId="3" name="Tabela dinâmica2"/>
    <pivotTable tabId="3" name="Tabela dinâmica1"/>
  </pivotTables>
  <data>
    <tabular pivotCacheId="1769089227">
      <items count="6">
        <i x="1" s="1"/>
        <i x="0" s="1"/>
        <i x="2" s="1"/>
        <i x="3" s="1" nd="1"/>
        <i x="4" s="1" nd="1"/>
        <i x="5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Disponibilidade_Turno" sourceName="Disponibilidade Turno">
  <pivotTables>
    <pivotTable tabId="3" name="Tabela dinâmica2"/>
    <pivotTable tabId="3" name="Tabela dinâmica1"/>
  </pivotTables>
  <data>
    <tabular pivotCacheId="1769089227">
      <items count="4">
        <i x="1" s="1"/>
        <i x="0" s="1"/>
        <i x="2" s="1"/>
        <i x="3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Certificações" sourceName="Certificações">
  <pivotTables>
    <pivotTable tabId="3" name="Tabela dinâmica2"/>
    <pivotTable tabId="3" name="Tabela dinâmica1"/>
  </pivotTables>
  <data>
    <tabular pivotCacheId="1769089227">
      <items count="5">
        <i x="2" s="1"/>
        <i x="1" s="1"/>
        <i x="0" s="1"/>
        <i x="3" s="1" nd="1"/>
        <i x="4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Especialidade" cache="SegmentaçãodeDados_Especialidade" caption="Especialidade" style="SlicerStyleOther1" rowHeight="241300"/>
  <slicer name="Disponibilidade" cache="SegmentaçãodeDados_Disponibilidade" caption="Disponibilidade" style="SlicerStyleOther1" rowHeight="241300"/>
  <slicer name="Disponibilidade Turno" cache="SegmentaçãodeDados_Disponibilidade_Turno" caption="Disponibilidade Turno" columnCount="2" style="SlicerStyleOther1" rowHeight="241300"/>
  <slicer name="Certificações" cache="SegmentaçãodeDados_Certificações" caption="Certificações" style="SlicerStyleOther1" rowHeight="241300"/>
</slicers>
</file>

<file path=xl/tables/table1.xml><?xml version="1.0" encoding="utf-8"?>
<table xmlns="http://schemas.openxmlformats.org/spreadsheetml/2006/main" id="1" name="Tabela1" displayName="Tabela1" ref="A1:H7" totalsRowShown="0">
  <tableColumns count="8">
    <tableColumn id="1" name="Nome"/>
    <tableColumn id="2" name="Contrato Atual"/>
    <tableColumn id="3" name="Até" dataDxfId="3"/>
    <tableColumn id="4" name="Especialidade"/>
    <tableColumn id="5" name="Certificações"/>
    <tableColumn id="6" name="Experiência"/>
    <tableColumn id="7" name="Disponibilidade"/>
    <tableColumn id="8" name="Disponibilidade Turno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/>
  <dimension ref="A1"/>
  <sheetViews>
    <sheetView showGridLines="0" tabSelected="1" workbookViewId="0">
      <selection activeCell="M4" sqref="M4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3" name="Scroll Bar 10">
              <controlPr defaultSize="0" autoPict="0">
                <anchor moveWithCells="1">
                  <from>
                    <xdr:col>12</xdr:col>
                    <xdr:colOff>476250</xdr:colOff>
                    <xdr:row>16</xdr:row>
                    <xdr:rowOff>19050</xdr:rowOff>
                  </from>
                  <to>
                    <xdr:col>13</xdr:col>
                    <xdr:colOff>104775</xdr:colOff>
                    <xdr:row>22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A1:H7"/>
  <sheetViews>
    <sheetView workbookViewId="0">
      <selection activeCell="A5" sqref="A5"/>
    </sheetView>
  </sheetViews>
  <sheetFormatPr defaultRowHeight="15" x14ac:dyDescent="0.25"/>
  <cols>
    <col min="1" max="1" width="20.140625" customWidth="1"/>
    <col min="2" max="2" width="16" customWidth="1"/>
    <col min="3" max="3" width="13.28515625" style="7" customWidth="1"/>
    <col min="4" max="4" width="15.28515625" customWidth="1"/>
    <col min="5" max="5" width="14.5703125" customWidth="1"/>
    <col min="6" max="6" width="13.42578125" customWidth="1"/>
    <col min="7" max="7" width="17.140625" customWidth="1"/>
    <col min="8" max="8" width="22.7109375" customWidth="1"/>
  </cols>
  <sheetData>
    <row r="1" spans="1:8" x14ac:dyDescent="0.25">
      <c r="A1" t="s">
        <v>3</v>
      </c>
      <c r="B1" t="s">
        <v>2</v>
      </c>
      <c r="C1" s="7" t="s">
        <v>1</v>
      </c>
      <c r="D1" t="s">
        <v>0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t="s">
        <v>21</v>
      </c>
      <c r="B2" t="s">
        <v>18</v>
      </c>
      <c r="C2" s="7" t="s">
        <v>22</v>
      </c>
      <c r="D2" t="s">
        <v>23</v>
      </c>
      <c r="G2" t="s">
        <v>10</v>
      </c>
      <c r="H2" t="s">
        <v>15</v>
      </c>
    </row>
    <row r="3" spans="1:8" x14ac:dyDescent="0.25">
      <c r="A3" t="s">
        <v>33</v>
      </c>
      <c r="B3" t="s">
        <v>17</v>
      </c>
      <c r="C3" s="7" t="s">
        <v>32</v>
      </c>
      <c r="D3" t="s">
        <v>23</v>
      </c>
      <c r="G3" t="s">
        <v>10</v>
      </c>
      <c r="H3" t="s">
        <v>14</v>
      </c>
    </row>
    <row r="4" spans="1:8" x14ac:dyDescent="0.25">
      <c r="A4" t="s">
        <v>34</v>
      </c>
      <c r="B4" t="s">
        <v>17</v>
      </c>
      <c r="C4" s="7" t="s">
        <v>28</v>
      </c>
      <c r="D4" t="s">
        <v>29</v>
      </c>
      <c r="G4" t="s">
        <v>11</v>
      </c>
      <c r="H4" t="s">
        <v>15</v>
      </c>
    </row>
    <row r="5" spans="1:8" x14ac:dyDescent="0.25">
      <c r="A5" t="s">
        <v>35</v>
      </c>
      <c r="B5" t="s">
        <v>18</v>
      </c>
      <c r="C5" s="7" t="s">
        <v>36</v>
      </c>
      <c r="D5" t="s">
        <v>37</v>
      </c>
      <c r="E5" t="s">
        <v>38</v>
      </c>
      <c r="F5" t="s">
        <v>39</v>
      </c>
      <c r="G5" t="s">
        <v>10</v>
      </c>
      <c r="H5" t="s">
        <v>14</v>
      </c>
    </row>
    <row r="6" spans="1:8" x14ac:dyDescent="0.25">
      <c r="A6" t="s">
        <v>40</v>
      </c>
      <c r="B6" t="s">
        <v>19</v>
      </c>
    </row>
    <row r="7" spans="1:8" x14ac:dyDescent="0.25">
      <c r="A7" t="s">
        <v>42</v>
      </c>
      <c r="B7" t="s">
        <v>18</v>
      </c>
      <c r="C7" s="7" t="s">
        <v>43</v>
      </c>
      <c r="D7" t="s">
        <v>44</v>
      </c>
      <c r="E7" t="s">
        <v>44</v>
      </c>
      <c r="G7" t="s">
        <v>10</v>
      </c>
      <c r="H7" t="s">
        <v>14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A1:AI30"/>
  <sheetViews>
    <sheetView topLeftCell="N1" workbookViewId="0">
      <selection activeCell="Q3" sqref="Q3"/>
    </sheetView>
  </sheetViews>
  <sheetFormatPr defaultRowHeight="15" x14ac:dyDescent="0.25"/>
  <cols>
    <col min="1" max="1" width="22" bestFit="1" customWidth="1"/>
    <col min="3" max="3" width="18.42578125" bestFit="1" customWidth="1"/>
    <col min="6" max="6" width="9.5703125" bestFit="1" customWidth="1"/>
    <col min="10" max="10" width="23" customWidth="1"/>
    <col min="11" max="11" width="19.5703125" bestFit="1" customWidth="1"/>
    <col min="12" max="12" width="5.7109375" customWidth="1"/>
    <col min="13" max="13" width="5" customWidth="1"/>
    <col min="14" max="14" width="10.7109375" customWidth="1"/>
    <col min="15" max="15" width="10.7109375" bestFit="1" customWidth="1"/>
    <col min="17" max="17" width="29.140625" bestFit="1" customWidth="1"/>
    <col min="18" max="18" width="6" customWidth="1"/>
    <col min="19" max="19" width="5.7109375" bestFit="1" customWidth="1"/>
    <col min="20" max="20" width="6.140625" customWidth="1"/>
    <col min="21" max="21" width="5.5703125" customWidth="1"/>
    <col min="22" max="22" width="25.85546875" bestFit="1" customWidth="1"/>
    <col min="23" max="23" width="25.85546875" customWidth="1"/>
    <col min="24" max="24" width="19.5703125" bestFit="1" customWidth="1"/>
    <col min="25" max="25" width="5.7109375" customWidth="1"/>
    <col min="26" max="26" width="5" customWidth="1"/>
    <col min="27" max="27" width="10.7109375" customWidth="1"/>
    <col min="28" max="28" width="10.7109375" bestFit="1" customWidth="1"/>
    <col min="31" max="31" width="29.5703125" customWidth="1"/>
  </cols>
  <sheetData>
    <row r="1" spans="1:35" x14ac:dyDescent="0.25">
      <c r="A1" t="s">
        <v>8</v>
      </c>
      <c r="C1" t="s">
        <v>13</v>
      </c>
      <c r="F1" t="s">
        <v>16</v>
      </c>
    </row>
    <row r="2" spans="1:35" x14ac:dyDescent="0.25">
      <c r="A2" t="s">
        <v>9</v>
      </c>
      <c r="C2" t="s">
        <v>14</v>
      </c>
      <c r="F2" t="s">
        <v>17</v>
      </c>
      <c r="W2" s="2" t="s">
        <v>30</v>
      </c>
      <c r="X2" s="2" t="s">
        <v>26</v>
      </c>
      <c r="AE2" s="8" t="s">
        <v>3</v>
      </c>
      <c r="AF2" s="8" t="s">
        <v>18</v>
      </c>
      <c r="AG2" s="8" t="s">
        <v>17</v>
      </c>
      <c r="AH2" s="8" t="s">
        <v>19</v>
      </c>
      <c r="AI2" s="8" t="s">
        <v>20</v>
      </c>
    </row>
    <row r="3" spans="1:35" x14ac:dyDescent="0.25">
      <c r="A3" t="s">
        <v>10</v>
      </c>
      <c r="C3" t="s">
        <v>15</v>
      </c>
      <c r="F3" t="s">
        <v>18</v>
      </c>
      <c r="J3" s="2" t="s">
        <v>27</v>
      </c>
      <c r="K3" s="2" t="s">
        <v>26</v>
      </c>
      <c r="Q3" s="2" t="s">
        <v>27</v>
      </c>
      <c r="R3" s="2" t="s">
        <v>26</v>
      </c>
      <c r="V3" s="5">
        <v>1</v>
      </c>
      <c r="W3" s="2" t="s">
        <v>31</v>
      </c>
      <c r="X3" t="s">
        <v>18</v>
      </c>
      <c r="Y3" t="s">
        <v>17</v>
      </c>
      <c r="Z3" t="s">
        <v>19</v>
      </c>
      <c r="AA3" t="s">
        <v>25</v>
      </c>
      <c r="AD3">
        <f>V3</f>
        <v>1</v>
      </c>
      <c r="AE3" t="str">
        <f>VLOOKUP($AD3,$P$5:$U$30,2,FALSE)</f>
        <v>José Manja Tudo</v>
      </c>
      <c r="AF3">
        <f>VLOOKUP($AD3,$P$5:$U$30,3,FALSE)</f>
        <v>1</v>
      </c>
      <c r="AG3">
        <f>VLOOKUP($AD3,$P$5:$U$30,4,FALSE)</f>
        <v>0</v>
      </c>
      <c r="AH3">
        <f>VLOOKUP($AD3,$P$5:$U$30,5,FALSE)</f>
        <v>0</v>
      </c>
      <c r="AI3">
        <f>VLOOKUP($AD3,$P$5:$U$30,6,FALSE)</f>
        <v>0</v>
      </c>
    </row>
    <row r="4" spans="1:35" x14ac:dyDescent="0.25">
      <c r="A4" t="s">
        <v>11</v>
      </c>
      <c r="F4" t="s">
        <v>19</v>
      </c>
      <c r="J4" s="2" t="s">
        <v>24</v>
      </c>
      <c r="K4" t="s">
        <v>18</v>
      </c>
      <c r="L4" t="s">
        <v>17</v>
      </c>
      <c r="M4" t="s">
        <v>19</v>
      </c>
      <c r="N4" t="s">
        <v>25</v>
      </c>
      <c r="Q4" s="2" t="s">
        <v>3</v>
      </c>
      <c r="R4" t="s">
        <v>18</v>
      </c>
      <c r="S4" t="s">
        <v>17</v>
      </c>
      <c r="T4" t="s">
        <v>19</v>
      </c>
      <c r="W4" s="3" t="s">
        <v>29</v>
      </c>
      <c r="X4" s="4"/>
      <c r="Y4" s="4">
        <v>1</v>
      </c>
      <c r="Z4" s="4"/>
      <c r="AA4" s="4">
        <v>1</v>
      </c>
      <c r="AD4">
        <f>AD3+1</f>
        <v>2</v>
      </c>
      <c r="AE4" t="str">
        <f t="shared" ref="AE4:AE12" si="0">VLOOKUP($AD4,$P$5:$U$30,2,FALSE)</f>
        <v>Fernando Sabe das Coisas</v>
      </c>
      <c r="AF4">
        <f t="shared" ref="AF4:AF12" si="1">VLOOKUP($AD4,$P$5:$U$30,3,FALSE)</f>
        <v>0</v>
      </c>
      <c r="AG4">
        <f t="shared" ref="AG4:AG12" si="2">VLOOKUP($AD4,$P$5:$U$30,4,FALSE)</f>
        <v>1</v>
      </c>
      <c r="AH4">
        <f t="shared" ref="AH4:AH12" si="3">VLOOKUP($AD4,$P$5:$U$30,5,FALSE)</f>
        <v>0</v>
      </c>
      <c r="AI4">
        <f t="shared" ref="AI4:AI12" si="4">VLOOKUP($AD4,$P$5:$U$30,6,FALSE)</f>
        <v>0</v>
      </c>
    </row>
    <row r="5" spans="1:35" x14ac:dyDescent="0.25">
      <c r="A5" t="s">
        <v>12</v>
      </c>
      <c r="F5" t="s">
        <v>20</v>
      </c>
      <c r="J5" s="3" t="s">
        <v>23</v>
      </c>
      <c r="K5" s="4">
        <v>1</v>
      </c>
      <c r="L5" s="4">
        <v>1</v>
      </c>
      <c r="M5" s="4"/>
      <c r="N5" s="4">
        <v>2</v>
      </c>
      <c r="P5">
        <f>SUBTOTAL(2,Q5,Q4)+1</f>
        <v>1</v>
      </c>
      <c r="Q5" s="3" t="s">
        <v>21</v>
      </c>
      <c r="R5" s="4">
        <v>1</v>
      </c>
      <c r="S5" s="4"/>
      <c r="T5" s="4"/>
      <c r="V5" s="6"/>
      <c r="W5" s="3" t="s">
        <v>23</v>
      </c>
      <c r="X5" s="4">
        <v>1</v>
      </c>
      <c r="Y5" s="4">
        <v>1</v>
      </c>
      <c r="Z5" s="4"/>
      <c r="AA5" s="4">
        <v>2</v>
      </c>
      <c r="AD5">
        <f t="shared" ref="AD5:AD11" si="5">AD4+1</f>
        <v>3</v>
      </c>
      <c r="AE5" t="str">
        <f t="shared" si="0"/>
        <v>Patrick Manjador do Financeiro</v>
      </c>
      <c r="AF5">
        <f t="shared" si="1"/>
        <v>0</v>
      </c>
      <c r="AG5">
        <f t="shared" si="2"/>
        <v>1</v>
      </c>
      <c r="AH5">
        <f t="shared" si="3"/>
        <v>0</v>
      </c>
      <c r="AI5">
        <f t="shared" si="4"/>
        <v>0</v>
      </c>
    </row>
    <row r="6" spans="1:35" x14ac:dyDescent="0.25">
      <c r="C6" s="1"/>
      <c r="J6" s="3" t="s">
        <v>29</v>
      </c>
      <c r="K6" s="4"/>
      <c r="L6" s="4">
        <v>1</v>
      </c>
      <c r="M6" s="4"/>
      <c r="N6" s="4">
        <v>1</v>
      </c>
      <c r="P6">
        <f>P5+1</f>
        <v>2</v>
      </c>
      <c r="Q6" s="3" t="s">
        <v>33</v>
      </c>
      <c r="R6" s="4"/>
      <c r="S6" s="4">
        <v>1</v>
      </c>
      <c r="T6" s="4"/>
      <c r="W6" s="3" t="s">
        <v>37</v>
      </c>
      <c r="X6" s="4">
        <v>1</v>
      </c>
      <c r="Y6" s="4"/>
      <c r="Z6" s="4"/>
      <c r="AA6" s="4">
        <v>1</v>
      </c>
      <c r="AD6">
        <f t="shared" si="5"/>
        <v>4</v>
      </c>
      <c r="AE6" t="str">
        <f t="shared" si="0"/>
        <v>Joao Pablo</v>
      </c>
      <c r="AF6">
        <f t="shared" si="1"/>
        <v>1</v>
      </c>
      <c r="AG6">
        <f t="shared" si="2"/>
        <v>0</v>
      </c>
      <c r="AH6">
        <f t="shared" si="3"/>
        <v>0</v>
      </c>
      <c r="AI6">
        <f t="shared" si="4"/>
        <v>0</v>
      </c>
    </row>
    <row r="7" spans="1:35" x14ac:dyDescent="0.25">
      <c r="J7" s="3" t="s">
        <v>37</v>
      </c>
      <c r="K7" s="4">
        <v>1</v>
      </c>
      <c r="L7" s="4"/>
      <c r="M7" s="4"/>
      <c r="N7" s="4">
        <v>1</v>
      </c>
      <c r="P7">
        <f t="shared" ref="P7:P30" si="6">P6+1</f>
        <v>3</v>
      </c>
      <c r="Q7" s="3" t="s">
        <v>34</v>
      </c>
      <c r="R7" s="4"/>
      <c r="S7" s="4">
        <v>1</v>
      </c>
      <c r="T7" s="4"/>
      <c r="W7" s="3" t="s">
        <v>41</v>
      </c>
      <c r="X7" s="4"/>
      <c r="Y7" s="4"/>
      <c r="Z7" s="4"/>
      <c r="AA7" s="4"/>
      <c r="AD7">
        <f t="shared" si="5"/>
        <v>5</v>
      </c>
      <c r="AE7" t="str">
        <f t="shared" si="0"/>
        <v>Pablo Joao</v>
      </c>
      <c r="AF7">
        <f t="shared" si="1"/>
        <v>0</v>
      </c>
      <c r="AG7">
        <f t="shared" si="2"/>
        <v>0</v>
      </c>
      <c r="AH7">
        <f t="shared" si="3"/>
        <v>1</v>
      </c>
      <c r="AI7">
        <f t="shared" si="4"/>
        <v>0</v>
      </c>
    </row>
    <row r="8" spans="1:35" x14ac:dyDescent="0.25">
      <c r="J8" s="3" t="s">
        <v>41</v>
      </c>
      <c r="K8" s="4"/>
      <c r="L8" s="4"/>
      <c r="M8" s="4">
        <v>1</v>
      </c>
      <c r="N8" s="4">
        <v>1</v>
      </c>
      <c r="P8">
        <f t="shared" si="6"/>
        <v>4</v>
      </c>
      <c r="Q8" s="3" t="s">
        <v>35</v>
      </c>
      <c r="R8" s="4">
        <v>1</v>
      </c>
      <c r="S8" s="4"/>
      <c r="T8" s="4"/>
      <c r="W8" s="3" t="s">
        <v>44</v>
      </c>
      <c r="X8" s="4">
        <v>1</v>
      </c>
      <c r="Y8" s="4"/>
      <c r="Z8" s="4"/>
      <c r="AA8" s="4">
        <v>1</v>
      </c>
      <c r="AD8">
        <f t="shared" si="5"/>
        <v>6</v>
      </c>
      <c r="AE8" t="str">
        <f t="shared" si="0"/>
        <v>qualquer um</v>
      </c>
      <c r="AF8">
        <f t="shared" si="1"/>
        <v>1</v>
      </c>
      <c r="AG8">
        <f t="shared" si="2"/>
        <v>0</v>
      </c>
      <c r="AH8">
        <f t="shared" si="3"/>
        <v>0</v>
      </c>
      <c r="AI8">
        <f t="shared" si="4"/>
        <v>0</v>
      </c>
    </row>
    <row r="9" spans="1:35" x14ac:dyDescent="0.25">
      <c r="J9" s="3" t="s">
        <v>44</v>
      </c>
      <c r="K9" s="4">
        <v>1</v>
      </c>
      <c r="L9" s="4"/>
      <c r="M9" s="4"/>
      <c r="N9" s="4">
        <v>1</v>
      </c>
      <c r="P9">
        <f t="shared" si="6"/>
        <v>5</v>
      </c>
      <c r="Q9" s="3" t="s">
        <v>40</v>
      </c>
      <c r="R9" s="4"/>
      <c r="S9" s="4"/>
      <c r="T9" s="4">
        <v>1</v>
      </c>
      <c r="W9" s="3" t="s">
        <v>25</v>
      </c>
      <c r="X9" s="4">
        <v>3</v>
      </c>
      <c r="Y9" s="4">
        <v>2</v>
      </c>
      <c r="Z9" s="4"/>
      <c r="AA9" s="4">
        <v>5</v>
      </c>
      <c r="AD9">
        <f t="shared" si="5"/>
        <v>7</v>
      </c>
      <c r="AE9">
        <f t="shared" si="0"/>
        <v>0</v>
      </c>
      <c r="AF9">
        <f t="shared" si="1"/>
        <v>0</v>
      </c>
      <c r="AG9">
        <f t="shared" si="2"/>
        <v>0</v>
      </c>
      <c r="AH9">
        <f t="shared" si="3"/>
        <v>0</v>
      </c>
      <c r="AI9">
        <f t="shared" si="4"/>
        <v>0</v>
      </c>
    </row>
    <row r="10" spans="1:35" x14ac:dyDescent="0.25">
      <c r="J10" s="3" t="s">
        <v>25</v>
      </c>
      <c r="K10" s="4">
        <v>3</v>
      </c>
      <c r="L10" s="4">
        <v>2</v>
      </c>
      <c r="M10" s="4">
        <v>1</v>
      </c>
      <c r="N10" s="4">
        <v>6</v>
      </c>
      <c r="P10">
        <f t="shared" si="6"/>
        <v>6</v>
      </c>
      <c r="Q10" s="3" t="s">
        <v>42</v>
      </c>
      <c r="R10" s="4">
        <v>1</v>
      </c>
      <c r="S10" s="4"/>
      <c r="T10" s="4"/>
      <c r="AD10">
        <f t="shared" si="5"/>
        <v>8</v>
      </c>
      <c r="AE10">
        <f t="shared" si="0"/>
        <v>0</v>
      </c>
      <c r="AF10">
        <f t="shared" si="1"/>
        <v>0</v>
      </c>
      <c r="AG10">
        <f t="shared" si="2"/>
        <v>0</v>
      </c>
      <c r="AH10">
        <f t="shared" si="3"/>
        <v>0</v>
      </c>
      <c r="AI10">
        <f t="shared" si="4"/>
        <v>0</v>
      </c>
    </row>
    <row r="11" spans="1:35" x14ac:dyDescent="0.25">
      <c r="P11">
        <f t="shared" si="6"/>
        <v>7</v>
      </c>
      <c r="AD11">
        <f t="shared" si="5"/>
        <v>9</v>
      </c>
      <c r="AE11">
        <f t="shared" si="0"/>
        <v>0</v>
      </c>
      <c r="AF11">
        <f t="shared" si="1"/>
        <v>0</v>
      </c>
      <c r="AG11">
        <f t="shared" si="2"/>
        <v>0</v>
      </c>
      <c r="AH11">
        <f t="shared" si="3"/>
        <v>0</v>
      </c>
      <c r="AI11">
        <f t="shared" si="4"/>
        <v>0</v>
      </c>
    </row>
    <row r="12" spans="1:35" x14ac:dyDescent="0.25">
      <c r="P12">
        <f t="shared" si="6"/>
        <v>8</v>
      </c>
      <c r="AD12">
        <f>AD11+1</f>
        <v>10</v>
      </c>
      <c r="AE12">
        <f t="shared" si="0"/>
        <v>0</v>
      </c>
      <c r="AF12">
        <f t="shared" si="1"/>
        <v>0</v>
      </c>
      <c r="AG12">
        <f t="shared" si="2"/>
        <v>0</v>
      </c>
      <c r="AH12">
        <f t="shared" si="3"/>
        <v>0</v>
      </c>
      <c r="AI12">
        <f t="shared" si="4"/>
        <v>0</v>
      </c>
    </row>
    <row r="13" spans="1:35" x14ac:dyDescent="0.25">
      <c r="P13">
        <f t="shared" si="6"/>
        <v>9</v>
      </c>
    </row>
    <row r="14" spans="1:35" x14ac:dyDescent="0.25">
      <c r="P14">
        <f t="shared" si="6"/>
        <v>10</v>
      </c>
    </row>
    <row r="15" spans="1:35" x14ac:dyDescent="0.25">
      <c r="P15">
        <f t="shared" si="6"/>
        <v>11</v>
      </c>
    </row>
    <row r="16" spans="1:35" x14ac:dyDescent="0.25">
      <c r="P16">
        <f t="shared" si="6"/>
        <v>12</v>
      </c>
    </row>
    <row r="17" spans="16:16" x14ac:dyDescent="0.25">
      <c r="P17">
        <f t="shared" si="6"/>
        <v>13</v>
      </c>
    </row>
    <row r="18" spans="16:16" x14ac:dyDescent="0.25">
      <c r="P18">
        <f t="shared" si="6"/>
        <v>14</v>
      </c>
    </row>
    <row r="19" spans="16:16" x14ac:dyDescent="0.25">
      <c r="P19">
        <f t="shared" si="6"/>
        <v>15</v>
      </c>
    </row>
    <row r="20" spans="16:16" x14ac:dyDescent="0.25">
      <c r="P20">
        <f t="shared" si="6"/>
        <v>16</v>
      </c>
    </row>
    <row r="21" spans="16:16" x14ac:dyDescent="0.25">
      <c r="P21">
        <f t="shared" si="6"/>
        <v>17</v>
      </c>
    </row>
    <row r="22" spans="16:16" x14ac:dyDescent="0.25">
      <c r="P22">
        <f t="shared" si="6"/>
        <v>18</v>
      </c>
    </row>
    <row r="23" spans="16:16" x14ac:dyDescent="0.25">
      <c r="P23">
        <f t="shared" si="6"/>
        <v>19</v>
      </c>
    </row>
    <row r="24" spans="16:16" x14ac:dyDescent="0.25">
      <c r="P24">
        <f t="shared" si="6"/>
        <v>20</v>
      </c>
    </row>
    <row r="25" spans="16:16" x14ac:dyDescent="0.25">
      <c r="P25">
        <f t="shared" si="6"/>
        <v>21</v>
      </c>
    </row>
    <row r="26" spans="16:16" x14ac:dyDescent="0.25">
      <c r="P26">
        <f t="shared" si="6"/>
        <v>22</v>
      </c>
    </row>
    <row r="27" spans="16:16" x14ac:dyDescent="0.25">
      <c r="P27">
        <f t="shared" si="6"/>
        <v>23</v>
      </c>
    </row>
    <row r="28" spans="16:16" x14ac:dyDescent="0.25">
      <c r="P28">
        <f t="shared" si="6"/>
        <v>24</v>
      </c>
    </row>
    <row r="29" spans="16:16" x14ac:dyDescent="0.25">
      <c r="P29">
        <f t="shared" si="6"/>
        <v>25</v>
      </c>
    </row>
    <row r="30" spans="16:16" x14ac:dyDescent="0.25">
      <c r="P30">
        <f t="shared" si="6"/>
        <v>26</v>
      </c>
    </row>
  </sheetData>
  <conditionalFormatting sqref="R13:U30">
    <cfRule type="cellIs" dxfId="2" priority="3" operator="greaterThan">
      <formula>0</formula>
    </cfRule>
  </conditionalFormatting>
  <conditionalFormatting sqref="AE3:AI12">
    <cfRule type="cellIs" dxfId="1" priority="1" operator="equal">
      <formula>1</formula>
    </cfRule>
    <cfRule type="cellIs" dxfId="0" priority="2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Dashboard</vt:lpstr>
      <vt:lpstr>Dados(RAW)</vt:lpstr>
      <vt:lpstr>Apoio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hiddenni</dc:creator>
  <cp:lastModifiedBy>Paulo Guilherme De Castro Chicherchio</cp:lastModifiedBy>
  <dcterms:created xsi:type="dcterms:W3CDTF">2019-09-29T12:02:29Z</dcterms:created>
  <dcterms:modified xsi:type="dcterms:W3CDTF">2020-01-06T17:04:11Z</dcterms:modified>
</cp:coreProperties>
</file>